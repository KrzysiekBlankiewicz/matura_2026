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zymonizbicki/Desktop/"/>
    </mc:Choice>
  </mc:AlternateContent>
  <xr:revisionPtr revIDLastSave="0" documentId="13_ncr:1_{29E37748-2358-4241-9021-DC2516D69254}" xr6:coauthVersionLast="47" xr6:coauthVersionMax="47" xr10:uidLastSave="{00000000-0000-0000-0000-000000000000}"/>
  <bookViews>
    <workbookView xWindow="0" yWindow="680" windowWidth="34200" windowHeight="21460" activeTab="3" xr2:uid="{C4747959-4F0C-D544-8129-8154418FCFA1}"/>
  </bookViews>
  <sheets>
    <sheet name="dane" sheetId="1" r:id="rId1"/>
    <sheet name="a" sheetId="2" r:id="rId2"/>
    <sheet name="b" sheetId="3" r:id="rId3"/>
    <sheet name="c" sheetId="4" r:id="rId4"/>
  </sheets>
  <definedNames>
    <definedName name="kursy" localSheetId="2">b!$B$2:$B$366</definedName>
    <definedName name="kursy" localSheetId="3">'c'!$B$2:$B$366</definedName>
    <definedName name="lokaty" localSheetId="1">a!$A$2:$A$201</definedName>
    <definedName name="lokaty" localSheetId="2">b!#REF!</definedName>
    <definedName name="lokaty" localSheetId="3">'c'!#REF!</definedName>
    <definedName name="lokaty" localSheetId="0">dane!$A$2:$A$201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" i="4"/>
  <c r="C2" i="4"/>
  <c r="E366" i="3"/>
  <c r="E7" i="3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" i="3"/>
  <c r="E4" i="3" s="1"/>
  <c r="E5" i="3" s="1"/>
  <c r="E6" i="3" s="1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" i="3"/>
  <c r="C2" i="3"/>
  <c r="D2" i="3"/>
  <c r="H4" i="2"/>
  <c r="G4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74D7EE-B332-8245-A640-F12945DD4D9C}" name="kursy" type="6" refreshedVersion="8" background="1" saveData="1">
    <textPr sourceFile="/Users/szymonizbicki/Desktop/DANE/kursy.txt">
      <textFields>
        <textField/>
      </textFields>
    </textPr>
  </connection>
  <connection id="2" xr16:uid="{F1AF4E0E-4C14-0A44-AC26-E1A7DEB421FD}" name="kursy1" type="6" refreshedVersion="8" background="1" saveData="1">
    <textPr sourceFile="/Users/szymonizbicki/Desktop/DANE/kursy.txt">
      <textFields>
        <textField/>
      </textFields>
    </textPr>
  </connection>
  <connection id="3" xr16:uid="{310D333A-A411-284A-AAC2-08F19663D676}" name="lokaty" type="6" refreshedVersion="8" background="1" saveData="1">
    <textPr sourceFile="/Users/szymonizbicki/Desktop/DANE/lokaty.txt">
      <textFields>
        <textField/>
      </textFields>
    </textPr>
  </connection>
  <connection id="4" xr16:uid="{A09CE19A-59FD-424C-90C5-9801662C0850}" name="lokaty1" type="6" refreshedVersion="8" background="1" saveData="1">
    <textPr sourceFile="/Users/szymonizbicki/Desktop/DANE/lokaty.txt">
      <textFields>
        <textField/>
      </textFields>
    </textPr>
  </connection>
</connections>
</file>

<file path=xl/sharedStrings.xml><?xml version="1.0" encoding="utf-8"?>
<sst xmlns="http://schemas.openxmlformats.org/spreadsheetml/2006/main" count="26" uniqueCount="19">
  <si>
    <t>kwota</t>
  </si>
  <si>
    <t>prog</t>
  </si>
  <si>
    <t>proc</t>
  </si>
  <si>
    <t>0,06</t>
  </si>
  <si>
    <t>0,07</t>
  </si>
  <si>
    <t>0,08</t>
  </si>
  <si>
    <t>0,09</t>
  </si>
  <si>
    <t>0,1</t>
  </si>
  <si>
    <t>0,11</t>
  </si>
  <si>
    <t>po roku</t>
  </si>
  <si>
    <t>suma na poczatku roku</t>
  </si>
  <si>
    <t>suma na koniec roku</t>
  </si>
  <si>
    <t>kurs</t>
  </si>
  <si>
    <t>data</t>
  </si>
  <si>
    <t>stan konta</t>
  </si>
  <si>
    <t>eu?</t>
  </si>
  <si>
    <t>odp:</t>
  </si>
  <si>
    <t>kurs spadl?</t>
  </si>
  <si>
    <t>ile razy wzrosl?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</si>
</sst>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[$]d\.mm\.yyyy;@" x16r2:formatCode16="[$-pl-US,1]d\.mm\.yyyy;@"/>
  </numFmts>
  <fonts count="3" x14ac:knownFonts="1">
    <font>
      <sz val="12"/>
      <color theme="1"/>
      <name val="Aptos Narrow"/>
      <family val="2"/>
      <charset val="238"/>
      <scheme val="minor"/>
    </font>
    <font>
      <sz val="12"/>
      <color rgb="FF000000"/>
      <name val="Helvetica"/>
      <family val="2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0" fontId="0" fillId="0" borderId="0" xfId="0" applyNumberFormat="1"/>
    <xf numFmtId="0" fontId="0" fillId="0" borderId="0" xfId="0" applyNumberFormat="1"/>
    <xf numFmtId="0" fontId="0" fillId="2" borderId="0" xfId="0" applyFill="1"/>
    <xf numFmtId="173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okaty" connectionId="3" xr16:uid="{A9478049-0C4B-9B4D-ADE9-63696F55919B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okaty" connectionId="4" xr16:uid="{F71F1081-68C6-6742-9CB0-CA412F55B2BA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ursy" connectionId="1" xr16:uid="{FB686001-E05A-934A-8FF4-15A1CB2AF8CD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ursy" connectionId="2" xr16:uid="{6FC24FB1-A741-8641-9312-1EB00AE074C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47A9E-1946-2149-802C-74784329767E}">
  <dimension ref="A1:N201"/>
  <sheetViews>
    <sheetView zoomScale="125" workbookViewId="0">
      <selection activeCell="L10" sqref="L10"/>
    </sheetView>
  </sheetViews>
  <sheetFormatPr baseColWidth="10" defaultRowHeight="16" x14ac:dyDescent="0.2"/>
  <cols>
    <col min="1" max="1" width="6.1640625" bestFit="1" customWidth="1"/>
  </cols>
  <sheetData>
    <row r="1" spans="1:14" x14ac:dyDescent="0.2">
      <c r="A1" t="s">
        <v>0</v>
      </c>
      <c r="L1" s="1"/>
    </row>
    <row r="2" spans="1:14" x14ac:dyDescent="0.2">
      <c r="A2">
        <v>23435</v>
      </c>
      <c r="M2" t="s">
        <v>1</v>
      </c>
      <c r="N2" t="s">
        <v>2</v>
      </c>
    </row>
    <row r="3" spans="1:14" x14ac:dyDescent="0.2">
      <c r="A3">
        <v>37985</v>
      </c>
      <c r="M3">
        <v>10000</v>
      </c>
      <c r="N3" t="s">
        <v>3</v>
      </c>
    </row>
    <row r="4" spans="1:14" x14ac:dyDescent="0.2">
      <c r="A4">
        <v>23527</v>
      </c>
      <c r="M4">
        <v>19999</v>
      </c>
      <c r="N4" t="s">
        <v>4</v>
      </c>
    </row>
    <row r="5" spans="1:14" x14ac:dyDescent="0.2">
      <c r="A5">
        <v>8383</v>
      </c>
      <c r="M5">
        <v>29999</v>
      </c>
      <c r="N5" t="s">
        <v>5</v>
      </c>
    </row>
    <row r="6" spans="1:14" x14ac:dyDescent="0.2">
      <c r="A6">
        <v>18588</v>
      </c>
      <c r="M6">
        <v>39999</v>
      </c>
      <c r="N6" t="s">
        <v>6</v>
      </c>
    </row>
    <row r="7" spans="1:14" x14ac:dyDescent="0.2">
      <c r="A7">
        <v>38595</v>
      </c>
      <c r="M7">
        <v>49999</v>
      </c>
      <c r="N7" t="s">
        <v>7</v>
      </c>
    </row>
    <row r="8" spans="1:14" x14ac:dyDescent="0.2">
      <c r="A8">
        <v>61585</v>
      </c>
      <c r="M8">
        <v>100000000</v>
      </c>
      <c r="N8" t="s">
        <v>8</v>
      </c>
    </row>
    <row r="9" spans="1:14" x14ac:dyDescent="0.2">
      <c r="A9">
        <v>48277</v>
      </c>
    </row>
    <row r="10" spans="1:14" x14ac:dyDescent="0.2">
      <c r="A10">
        <v>59183</v>
      </c>
    </row>
    <row r="11" spans="1:14" x14ac:dyDescent="0.2">
      <c r="A11">
        <v>8028</v>
      </c>
    </row>
    <row r="12" spans="1:14" x14ac:dyDescent="0.2">
      <c r="A12">
        <v>8560</v>
      </c>
    </row>
    <row r="13" spans="1:14" x14ac:dyDescent="0.2">
      <c r="A13">
        <v>16307</v>
      </c>
    </row>
    <row r="14" spans="1:14" x14ac:dyDescent="0.2">
      <c r="A14">
        <v>48573</v>
      </c>
    </row>
    <row r="15" spans="1:14" x14ac:dyDescent="0.2">
      <c r="A15">
        <v>68876</v>
      </c>
    </row>
    <row r="16" spans="1:14" x14ac:dyDescent="0.2">
      <c r="A16">
        <v>21877</v>
      </c>
    </row>
    <row r="17" spans="1:1" x14ac:dyDescent="0.2">
      <c r="A17">
        <v>5116</v>
      </c>
    </row>
    <row r="18" spans="1:1" x14ac:dyDescent="0.2">
      <c r="A18">
        <v>61101</v>
      </c>
    </row>
    <row r="19" spans="1:1" x14ac:dyDescent="0.2">
      <c r="A19">
        <v>75606</v>
      </c>
    </row>
    <row r="20" spans="1:1" x14ac:dyDescent="0.2">
      <c r="A20">
        <v>58525</v>
      </c>
    </row>
    <row r="21" spans="1:1" x14ac:dyDescent="0.2">
      <c r="A21">
        <v>66645</v>
      </c>
    </row>
    <row r="22" spans="1:1" x14ac:dyDescent="0.2">
      <c r="A22">
        <v>48798</v>
      </c>
    </row>
    <row r="23" spans="1:1" x14ac:dyDescent="0.2">
      <c r="A23">
        <v>44528</v>
      </c>
    </row>
    <row r="24" spans="1:1" x14ac:dyDescent="0.2">
      <c r="A24">
        <v>57268</v>
      </c>
    </row>
    <row r="25" spans="1:1" x14ac:dyDescent="0.2">
      <c r="A25">
        <v>26845</v>
      </c>
    </row>
    <row r="26" spans="1:1" x14ac:dyDescent="0.2">
      <c r="A26">
        <v>57910</v>
      </c>
    </row>
    <row r="27" spans="1:1" x14ac:dyDescent="0.2">
      <c r="A27">
        <v>46541</v>
      </c>
    </row>
    <row r="28" spans="1:1" x14ac:dyDescent="0.2">
      <c r="A28">
        <v>64681</v>
      </c>
    </row>
    <row r="29" spans="1:1" x14ac:dyDescent="0.2">
      <c r="A29">
        <v>75468</v>
      </c>
    </row>
    <row r="30" spans="1:1" x14ac:dyDescent="0.2">
      <c r="A30">
        <v>62207</v>
      </c>
    </row>
    <row r="31" spans="1:1" x14ac:dyDescent="0.2">
      <c r="A31">
        <v>6839</v>
      </c>
    </row>
    <row r="32" spans="1:1" x14ac:dyDescent="0.2">
      <c r="A32">
        <v>64669</v>
      </c>
    </row>
    <row r="33" spans="1:1" x14ac:dyDescent="0.2">
      <c r="A33">
        <v>43023</v>
      </c>
    </row>
    <row r="34" spans="1:1" x14ac:dyDescent="0.2">
      <c r="A34">
        <v>21768</v>
      </c>
    </row>
    <row r="35" spans="1:1" x14ac:dyDescent="0.2">
      <c r="A35">
        <v>563</v>
      </c>
    </row>
    <row r="36" spans="1:1" x14ac:dyDescent="0.2">
      <c r="A36">
        <v>69335</v>
      </c>
    </row>
    <row r="37" spans="1:1" x14ac:dyDescent="0.2">
      <c r="A37">
        <v>44131</v>
      </c>
    </row>
    <row r="38" spans="1:1" x14ac:dyDescent="0.2">
      <c r="A38">
        <v>72224</v>
      </c>
    </row>
    <row r="39" spans="1:1" x14ac:dyDescent="0.2">
      <c r="A39">
        <v>13829</v>
      </c>
    </row>
    <row r="40" spans="1:1" x14ac:dyDescent="0.2">
      <c r="A40">
        <v>39613</v>
      </c>
    </row>
    <row r="41" spans="1:1" x14ac:dyDescent="0.2">
      <c r="A41">
        <v>40430</v>
      </c>
    </row>
    <row r="42" spans="1:1" x14ac:dyDescent="0.2">
      <c r="A42">
        <v>10225</v>
      </c>
    </row>
    <row r="43" spans="1:1" x14ac:dyDescent="0.2">
      <c r="A43">
        <v>692</v>
      </c>
    </row>
    <row r="44" spans="1:1" x14ac:dyDescent="0.2">
      <c r="A44">
        <v>31311</v>
      </c>
    </row>
    <row r="45" spans="1:1" x14ac:dyDescent="0.2">
      <c r="A45">
        <v>58358</v>
      </c>
    </row>
    <row r="46" spans="1:1" x14ac:dyDescent="0.2">
      <c r="A46">
        <v>14194</v>
      </c>
    </row>
    <row r="47" spans="1:1" x14ac:dyDescent="0.2">
      <c r="A47">
        <v>63252</v>
      </c>
    </row>
    <row r="48" spans="1:1" x14ac:dyDescent="0.2">
      <c r="A48">
        <v>36881</v>
      </c>
    </row>
    <row r="49" spans="1:1" x14ac:dyDescent="0.2">
      <c r="A49">
        <v>30590</v>
      </c>
    </row>
    <row r="50" spans="1:1" x14ac:dyDescent="0.2">
      <c r="A50">
        <v>58415</v>
      </c>
    </row>
    <row r="51" spans="1:1" x14ac:dyDescent="0.2">
      <c r="A51">
        <v>36726</v>
      </c>
    </row>
    <row r="52" spans="1:1" x14ac:dyDescent="0.2">
      <c r="A52">
        <v>79065</v>
      </c>
    </row>
    <row r="53" spans="1:1" x14ac:dyDescent="0.2">
      <c r="A53">
        <v>32003</v>
      </c>
    </row>
    <row r="54" spans="1:1" x14ac:dyDescent="0.2">
      <c r="A54">
        <v>54098</v>
      </c>
    </row>
    <row r="55" spans="1:1" x14ac:dyDescent="0.2">
      <c r="A55">
        <v>71402</v>
      </c>
    </row>
    <row r="56" spans="1:1" x14ac:dyDescent="0.2">
      <c r="A56">
        <v>60056</v>
      </c>
    </row>
    <row r="57" spans="1:1" x14ac:dyDescent="0.2">
      <c r="A57">
        <v>4819</v>
      </c>
    </row>
    <row r="58" spans="1:1" x14ac:dyDescent="0.2">
      <c r="A58">
        <v>602</v>
      </c>
    </row>
    <row r="59" spans="1:1" x14ac:dyDescent="0.2">
      <c r="A59">
        <v>66631</v>
      </c>
    </row>
    <row r="60" spans="1:1" x14ac:dyDescent="0.2">
      <c r="A60">
        <v>10138</v>
      </c>
    </row>
    <row r="61" spans="1:1" x14ac:dyDescent="0.2">
      <c r="A61">
        <v>3860</v>
      </c>
    </row>
    <row r="62" spans="1:1" x14ac:dyDescent="0.2">
      <c r="A62">
        <v>33845</v>
      </c>
    </row>
    <row r="63" spans="1:1" x14ac:dyDescent="0.2">
      <c r="A63">
        <v>23511</v>
      </c>
    </row>
    <row r="64" spans="1:1" x14ac:dyDescent="0.2">
      <c r="A64">
        <v>52924</v>
      </c>
    </row>
    <row r="65" spans="1:1" x14ac:dyDescent="0.2">
      <c r="A65">
        <v>64079</v>
      </c>
    </row>
    <row r="66" spans="1:1" x14ac:dyDescent="0.2">
      <c r="A66">
        <v>79321</v>
      </c>
    </row>
    <row r="67" spans="1:1" x14ac:dyDescent="0.2">
      <c r="A67">
        <v>24566</v>
      </c>
    </row>
    <row r="68" spans="1:1" x14ac:dyDescent="0.2">
      <c r="A68">
        <v>25644</v>
      </c>
    </row>
    <row r="69" spans="1:1" x14ac:dyDescent="0.2">
      <c r="A69">
        <v>46188</v>
      </c>
    </row>
    <row r="70" spans="1:1" x14ac:dyDescent="0.2">
      <c r="A70">
        <v>65455</v>
      </c>
    </row>
    <row r="71" spans="1:1" x14ac:dyDescent="0.2">
      <c r="A71">
        <v>77740</v>
      </c>
    </row>
    <row r="72" spans="1:1" x14ac:dyDescent="0.2">
      <c r="A72">
        <v>77025</v>
      </c>
    </row>
    <row r="73" spans="1:1" x14ac:dyDescent="0.2">
      <c r="A73">
        <v>32760</v>
      </c>
    </row>
    <row r="74" spans="1:1" x14ac:dyDescent="0.2">
      <c r="A74">
        <v>9801</v>
      </c>
    </row>
    <row r="75" spans="1:1" x14ac:dyDescent="0.2">
      <c r="A75">
        <v>18596</v>
      </c>
    </row>
    <row r="76" spans="1:1" x14ac:dyDescent="0.2">
      <c r="A76">
        <v>69793</v>
      </c>
    </row>
    <row r="77" spans="1:1" x14ac:dyDescent="0.2">
      <c r="A77">
        <v>22708</v>
      </c>
    </row>
    <row r="78" spans="1:1" x14ac:dyDescent="0.2">
      <c r="A78">
        <v>42628</v>
      </c>
    </row>
    <row r="79" spans="1:1" x14ac:dyDescent="0.2">
      <c r="A79">
        <v>63239</v>
      </c>
    </row>
    <row r="80" spans="1:1" x14ac:dyDescent="0.2">
      <c r="A80">
        <v>5251</v>
      </c>
    </row>
    <row r="81" spans="1:1" x14ac:dyDescent="0.2">
      <c r="A81">
        <v>19304</v>
      </c>
    </row>
    <row r="82" spans="1:1" x14ac:dyDescent="0.2">
      <c r="A82">
        <v>76636</v>
      </c>
    </row>
    <row r="83" spans="1:1" x14ac:dyDescent="0.2">
      <c r="A83">
        <v>49199</v>
      </c>
    </row>
    <row r="84" spans="1:1" x14ac:dyDescent="0.2">
      <c r="A84">
        <v>73984</v>
      </c>
    </row>
    <row r="85" spans="1:1" x14ac:dyDescent="0.2">
      <c r="A85">
        <v>50591</v>
      </c>
    </row>
    <row r="86" spans="1:1" x14ac:dyDescent="0.2">
      <c r="A86">
        <v>51159</v>
      </c>
    </row>
    <row r="87" spans="1:1" x14ac:dyDescent="0.2">
      <c r="A87">
        <v>71296</v>
      </c>
    </row>
    <row r="88" spans="1:1" x14ac:dyDescent="0.2">
      <c r="A88">
        <v>56366</v>
      </c>
    </row>
    <row r="89" spans="1:1" x14ac:dyDescent="0.2">
      <c r="A89">
        <v>10471</v>
      </c>
    </row>
    <row r="90" spans="1:1" x14ac:dyDescent="0.2">
      <c r="A90">
        <v>22091</v>
      </c>
    </row>
    <row r="91" spans="1:1" x14ac:dyDescent="0.2">
      <c r="A91">
        <v>28275</v>
      </c>
    </row>
    <row r="92" spans="1:1" x14ac:dyDescent="0.2">
      <c r="A92">
        <v>59123</v>
      </c>
    </row>
    <row r="93" spans="1:1" x14ac:dyDescent="0.2">
      <c r="A93">
        <v>73406</v>
      </c>
    </row>
    <row r="94" spans="1:1" x14ac:dyDescent="0.2">
      <c r="A94">
        <v>50770</v>
      </c>
    </row>
    <row r="95" spans="1:1" x14ac:dyDescent="0.2">
      <c r="A95">
        <v>78505</v>
      </c>
    </row>
    <row r="96" spans="1:1" x14ac:dyDescent="0.2">
      <c r="A96">
        <v>20957</v>
      </c>
    </row>
    <row r="97" spans="1:1" x14ac:dyDescent="0.2">
      <c r="A97">
        <v>6289</v>
      </c>
    </row>
    <row r="98" spans="1:1" x14ac:dyDescent="0.2">
      <c r="A98">
        <v>268</v>
      </c>
    </row>
    <row r="99" spans="1:1" x14ac:dyDescent="0.2">
      <c r="A99">
        <v>1000</v>
      </c>
    </row>
    <row r="100" spans="1:1" x14ac:dyDescent="0.2">
      <c r="A100">
        <v>69132</v>
      </c>
    </row>
    <row r="101" spans="1:1" x14ac:dyDescent="0.2">
      <c r="A101">
        <v>71517</v>
      </c>
    </row>
    <row r="102" spans="1:1" x14ac:dyDescent="0.2">
      <c r="A102">
        <v>71249</v>
      </c>
    </row>
    <row r="103" spans="1:1" x14ac:dyDescent="0.2">
      <c r="A103">
        <v>49556</v>
      </c>
    </row>
    <row r="104" spans="1:1" x14ac:dyDescent="0.2">
      <c r="A104">
        <v>36545</v>
      </c>
    </row>
    <row r="105" spans="1:1" x14ac:dyDescent="0.2">
      <c r="A105">
        <v>74113</v>
      </c>
    </row>
    <row r="106" spans="1:1" x14ac:dyDescent="0.2">
      <c r="A106">
        <v>60472</v>
      </c>
    </row>
    <row r="107" spans="1:1" x14ac:dyDescent="0.2">
      <c r="A107">
        <v>14520</v>
      </c>
    </row>
    <row r="108" spans="1:1" x14ac:dyDescent="0.2">
      <c r="A108">
        <v>28046</v>
      </c>
    </row>
    <row r="109" spans="1:1" x14ac:dyDescent="0.2">
      <c r="A109">
        <v>79936</v>
      </c>
    </row>
    <row r="110" spans="1:1" x14ac:dyDescent="0.2">
      <c r="A110">
        <v>36109</v>
      </c>
    </row>
    <row r="111" spans="1:1" x14ac:dyDescent="0.2">
      <c r="A111">
        <v>42336</v>
      </c>
    </row>
    <row r="112" spans="1:1" x14ac:dyDescent="0.2">
      <c r="A112">
        <v>64550</v>
      </c>
    </row>
    <row r="113" spans="1:1" x14ac:dyDescent="0.2">
      <c r="A113">
        <v>6342</v>
      </c>
    </row>
    <row r="114" spans="1:1" x14ac:dyDescent="0.2">
      <c r="A114">
        <v>76170</v>
      </c>
    </row>
    <row r="115" spans="1:1" x14ac:dyDescent="0.2">
      <c r="A115">
        <v>23751</v>
      </c>
    </row>
    <row r="116" spans="1:1" x14ac:dyDescent="0.2">
      <c r="A116">
        <v>7756</v>
      </c>
    </row>
    <row r="117" spans="1:1" x14ac:dyDescent="0.2">
      <c r="A117">
        <v>24673</v>
      </c>
    </row>
    <row r="118" spans="1:1" x14ac:dyDescent="0.2">
      <c r="A118">
        <v>67375</v>
      </c>
    </row>
    <row r="119" spans="1:1" x14ac:dyDescent="0.2">
      <c r="A119">
        <v>43911</v>
      </c>
    </row>
    <row r="120" spans="1:1" x14ac:dyDescent="0.2">
      <c r="A120">
        <v>19276</v>
      </c>
    </row>
    <row r="121" spans="1:1" x14ac:dyDescent="0.2">
      <c r="A121">
        <v>12423</v>
      </c>
    </row>
    <row r="122" spans="1:1" x14ac:dyDescent="0.2">
      <c r="A122">
        <v>78517</v>
      </c>
    </row>
    <row r="123" spans="1:1" x14ac:dyDescent="0.2">
      <c r="A123">
        <v>16941</v>
      </c>
    </row>
    <row r="124" spans="1:1" x14ac:dyDescent="0.2">
      <c r="A124">
        <v>25374</v>
      </c>
    </row>
    <row r="125" spans="1:1" x14ac:dyDescent="0.2">
      <c r="A125">
        <v>76189</v>
      </c>
    </row>
    <row r="126" spans="1:1" x14ac:dyDescent="0.2">
      <c r="A126">
        <v>27099</v>
      </c>
    </row>
    <row r="127" spans="1:1" x14ac:dyDescent="0.2">
      <c r="A127">
        <v>39916</v>
      </c>
    </row>
    <row r="128" spans="1:1" x14ac:dyDescent="0.2">
      <c r="A128">
        <v>50075</v>
      </c>
    </row>
    <row r="129" spans="1:1" x14ac:dyDescent="0.2">
      <c r="A129">
        <v>14918</v>
      </c>
    </row>
    <row r="130" spans="1:1" x14ac:dyDescent="0.2">
      <c r="A130">
        <v>11502</v>
      </c>
    </row>
    <row r="131" spans="1:1" x14ac:dyDescent="0.2">
      <c r="A131">
        <v>5009</v>
      </c>
    </row>
    <row r="132" spans="1:1" x14ac:dyDescent="0.2">
      <c r="A132">
        <v>53818</v>
      </c>
    </row>
    <row r="133" spans="1:1" x14ac:dyDescent="0.2">
      <c r="A133">
        <v>43242</v>
      </c>
    </row>
    <row r="134" spans="1:1" x14ac:dyDescent="0.2">
      <c r="A134">
        <v>18681</v>
      </c>
    </row>
    <row r="135" spans="1:1" x14ac:dyDescent="0.2">
      <c r="A135">
        <v>52956</v>
      </c>
    </row>
    <row r="136" spans="1:1" x14ac:dyDescent="0.2">
      <c r="A136">
        <v>54442</v>
      </c>
    </row>
    <row r="137" spans="1:1" x14ac:dyDescent="0.2">
      <c r="A137">
        <v>34208</v>
      </c>
    </row>
    <row r="138" spans="1:1" x14ac:dyDescent="0.2">
      <c r="A138">
        <v>14249</v>
      </c>
    </row>
    <row r="139" spans="1:1" x14ac:dyDescent="0.2">
      <c r="A139">
        <v>51489</v>
      </c>
    </row>
    <row r="140" spans="1:1" x14ac:dyDescent="0.2">
      <c r="A140">
        <v>26005</v>
      </c>
    </row>
    <row r="141" spans="1:1" x14ac:dyDescent="0.2">
      <c r="A141">
        <v>38848</v>
      </c>
    </row>
    <row r="142" spans="1:1" x14ac:dyDescent="0.2">
      <c r="A142">
        <v>77453</v>
      </c>
    </row>
    <row r="143" spans="1:1" x14ac:dyDescent="0.2">
      <c r="A143">
        <v>10490</v>
      </c>
    </row>
    <row r="144" spans="1:1" x14ac:dyDescent="0.2">
      <c r="A144">
        <v>14727</v>
      </c>
    </row>
    <row r="145" spans="1:1" x14ac:dyDescent="0.2">
      <c r="A145">
        <v>69402</v>
      </c>
    </row>
    <row r="146" spans="1:1" x14ac:dyDescent="0.2">
      <c r="A146">
        <v>35081</v>
      </c>
    </row>
    <row r="147" spans="1:1" x14ac:dyDescent="0.2">
      <c r="A147">
        <v>22598</v>
      </c>
    </row>
    <row r="148" spans="1:1" x14ac:dyDescent="0.2">
      <c r="A148">
        <v>40493</v>
      </c>
    </row>
    <row r="149" spans="1:1" x14ac:dyDescent="0.2">
      <c r="A149">
        <v>11407</v>
      </c>
    </row>
    <row r="150" spans="1:1" x14ac:dyDescent="0.2">
      <c r="A150">
        <v>24624</v>
      </c>
    </row>
    <row r="151" spans="1:1" x14ac:dyDescent="0.2">
      <c r="A151">
        <v>3691</v>
      </c>
    </row>
    <row r="152" spans="1:1" x14ac:dyDescent="0.2">
      <c r="A152">
        <v>45933</v>
      </c>
    </row>
    <row r="153" spans="1:1" x14ac:dyDescent="0.2">
      <c r="A153">
        <v>1388</v>
      </c>
    </row>
    <row r="154" spans="1:1" x14ac:dyDescent="0.2">
      <c r="A154">
        <v>77221</v>
      </c>
    </row>
    <row r="155" spans="1:1" x14ac:dyDescent="0.2">
      <c r="A155">
        <v>38764</v>
      </c>
    </row>
    <row r="156" spans="1:1" x14ac:dyDescent="0.2">
      <c r="A156">
        <v>10706</v>
      </c>
    </row>
    <row r="157" spans="1:1" x14ac:dyDescent="0.2">
      <c r="A157">
        <v>41494</v>
      </c>
    </row>
    <row r="158" spans="1:1" x14ac:dyDescent="0.2">
      <c r="A158">
        <v>53146</v>
      </c>
    </row>
    <row r="159" spans="1:1" x14ac:dyDescent="0.2">
      <c r="A159">
        <v>55053</v>
      </c>
    </row>
    <row r="160" spans="1:1" x14ac:dyDescent="0.2">
      <c r="A160">
        <v>53986</v>
      </c>
    </row>
    <row r="161" spans="1:1" x14ac:dyDescent="0.2">
      <c r="A161">
        <v>53465</v>
      </c>
    </row>
    <row r="162" spans="1:1" x14ac:dyDescent="0.2">
      <c r="A162">
        <v>16027</v>
      </c>
    </row>
    <row r="163" spans="1:1" x14ac:dyDescent="0.2">
      <c r="A163">
        <v>71121</v>
      </c>
    </row>
    <row r="164" spans="1:1" x14ac:dyDescent="0.2">
      <c r="A164">
        <v>68886</v>
      </c>
    </row>
    <row r="165" spans="1:1" x14ac:dyDescent="0.2">
      <c r="A165">
        <v>65587</v>
      </c>
    </row>
    <row r="166" spans="1:1" x14ac:dyDescent="0.2">
      <c r="A166">
        <v>72828</v>
      </c>
    </row>
    <row r="167" spans="1:1" x14ac:dyDescent="0.2">
      <c r="A167">
        <v>54778</v>
      </c>
    </row>
    <row r="168" spans="1:1" x14ac:dyDescent="0.2">
      <c r="A168">
        <v>3946</v>
      </c>
    </row>
    <row r="169" spans="1:1" x14ac:dyDescent="0.2">
      <c r="A169">
        <v>37078</v>
      </c>
    </row>
    <row r="170" spans="1:1" x14ac:dyDescent="0.2">
      <c r="A170">
        <v>53536</v>
      </c>
    </row>
    <row r="171" spans="1:1" x14ac:dyDescent="0.2">
      <c r="A171">
        <v>77088</v>
      </c>
    </row>
    <row r="172" spans="1:1" x14ac:dyDescent="0.2">
      <c r="A172">
        <v>7158</v>
      </c>
    </row>
    <row r="173" spans="1:1" x14ac:dyDescent="0.2">
      <c r="A173">
        <v>52922</v>
      </c>
    </row>
    <row r="174" spans="1:1" x14ac:dyDescent="0.2">
      <c r="A174">
        <v>26901</v>
      </c>
    </row>
    <row r="175" spans="1:1" x14ac:dyDescent="0.2">
      <c r="A175">
        <v>19543</v>
      </c>
    </row>
    <row r="176" spans="1:1" x14ac:dyDescent="0.2">
      <c r="A176">
        <v>50643</v>
      </c>
    </row>
    <row r="177" spans="1:1" x14ac:dyDescent="0.2">
      <c r="A177">
        <v>62474</v>
      </c>
    </row>
    <row r="178" spans="1:1" x14ac:dyDescent="0.2">
      <c r="A178">
        <v>18993</v>
      </c>
    </row>
    <row r="179" spans="1:1" x14ac:dyDescent="0.2">
      <c r="A179">
        <v>49005</v>
      </c>
    </row>
    <row r="180" spans="1:1" x14ac:dyDescent="0.2">
      <c r="A180">
        <v>14739</v>
      </c>
    </row>
    <row r="181" spans="1:1" x14ac:dyDescent="0.2">
      <c r="A181">
        <v>3022</v>
      </c>
    </row>
    <row r="182" spans="1:1" x14ac:dyDescent="0.2">
      <c r="A182">
        <v>36598</v>
      </c>
    </row>
    <row r="183" spans="1:1" x14ac:dyDescent="0.2">
      <c r="A183">
        <v>33848</v>
      </c>
    </row>
    <row r="184" spans="1:1" x14ac:dyDescent="0.2">
      <c r="A184">
        <v>3830</v>
      </c>
    </row>
    <row r="185" spans="1:1" x14ac:dyDescent="0.2">
      <c r="A185">
        <v>15818</v>
      </c>
    </row>
    <row r="186" spans="1:1" x14ac:dyDescent="0.2">
      <c r="A186">
        <v>21448</v>
      </c>
    </row>
    <row r="187" spans="1:1" x14ac:dyDescent="0.2">
      <c r="A187">
        <v>28592</v>
      </c>
    </row>
    <row r="188" spans="1:1" x14ac:dyDescent="0.2">
      <c r="A188">
        <v>72694</v>
      </c>
    </row>
    <row r="189" spans="1:1" x14ac:dyDescent="0.2">
      <c r="A189">
        <v>77122</v>
      </c>
    </row>
    <row r="190" spans="1:1" x14ac:dyDescent="0.2">
      <c r="A190">
        <v>1546</v>
      </c>
    </row>
    <row r="191" spans="1:1" x14ac:dyDescent="0.2">
      <c r="A191">
        <v>9431</v>
      </c>
    </row>
    <row r="192" spans="1:1" x14ac:dyDescent="0.2">
      <c r="A192">
        <v>66005</v>
      </c>
    </row>
    <row r="193" spans="1:1" x14ac:dyDescent="0.2">
      <c r="A193">
        <v>5764</v>
      </c>
    </row>
    <row r="194" spans="1:1" x14ac:dyDescent="0.2">
      <c r="A194">
        <v>11818</v>
      </c>
    </row>
    <row r="195" spans="1:1" x14ac:dyDescent="0.2">
      <c r="A195">
        <v>41470</v>
      </c>
    </row>
    <row r="196" spans="1:1" x14ac:dyDescent="0.2">
      <c r="A196">
        <v>26028</v>
      </c>
    </row>
    <row r="197" spans="1:1" x14ac:dyDescent="0.2">
      <c r="A197">
        <v>52118</v>
      </c>
    </row>
    <row r="198" spans="1:1" x14ac:dyDescent="0.2">
      <c r="A198">
        <v>62466</v>
      </c>
    </row>
    <row r="199" spans="1:1" x14ac:dyDescent="0.2">
      <c r="A199">
        <v>55746</v>
      </c>
    </row>
    <row r="200" spans="1:1" x14ac:dyDescent="0.2">
      <c r="A200">
        <v>34738</v>
      </c>
    </row>
    <row r="201" spans="1:1" x14ac:dyDescent="0.2">
      <c r="A201">
        <v>4376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A57F4-8417-0D4E-BC66-DC0F7E763181}">
  <dimension ref="A1:N201"/>
  <sheetViews>
    <sheetView zoomScale="125" workbookViewId="0">
      <selection activeCell="G14" sqref="G14"/>
    </sheetView>
  </sheetViews>
  <sheetFormatPr baseColWidth="10" defaultRowHeight="16" x14ac:dyDescent="0.2"/>
  <cols>
    <col min="1" max="1" width="6.1640625" bestFit="1" customWidth="1"/>
    <col min="7" max="7" width="19.83203125" bestFit="1" customWidth="1"/>
    <col min="8" max="8" width="17.83203125" bestFit="1" customWidth="1"/>
  </cols>
  <sheetData>
    <row r="1" spans="1:14" x14ac:dyDescent="0.2">
      <c r="A1" t="s">
        <v>0</v>
      </c>
      <c r="B1" t="s">
        <v>2</v>
      </c>
      <c r="C1" t="s">
        <v>9</v>
      </c>
      <c r="L1" s="1"/>
    </row>
    <row r="2" spans="1:14" x14ac:dyDescent="0.2">
      <c r="A2">
        <v>23435</v>
      </c>
      <c r="B2" s="2">
        <f>VLOOKUP(A2, $M$3:$N$8, 2, TRUE)*1</f>
        <v>0.06</v>
      </c>
      <c r="C2" s="3">
        <f>ROUND(A2*B2+A2,2)</f>
        <v>24841.1</v>
      </c>
      <c r="M2" t="s">
        <v>1</v>
      </c>
      <c r="N2" t="s">
        <v>2</v>
      </c>
    </row>
    <row r="3" spans="1:14" x14ac:dyDescent="0.2">
      <c r="A3">
        <v>37985</v>
      </c>
      <c r="B3" s="2">
        <f t="shared" ref="B3:B66" si="0">VLOOKUP(A3, $M$3:$N$8, 2, TRUE)</f>
        <v>0.06</v>
      </c>
      <c r="C3" s="3">
        <f t="shared" ref="C3:C66" si="1">ROUND(A3*B3+A3,2)</f>
        <v>40264.1</v>
      </c>
      <c r="G3" s="4" t="s">
        <v>10</v>
      </c>
      <c r="H3" s="4" t="s">
        <v>11</v>
      </c>
      <c r="M3">
        <v>0</v>
      </c>
      <c r="N3">
        <v>0.06</v>
      </c>
    </row>
    <row r="4" spans="1:14" x14ac:dyDescent="0.2">
      <c r="A4">
        <v>23527</v>
      </c>
      <c r="B4" s="2">
        <f t="shared" si="0"/>
        <v>0.06</v>
      </c>
      <c r="C4" s="3">
        <f t="shared" si="1"/>
        <v>24938.62</v>
      </c>
      <c r="G4" s="4">
        <f>SUM(lokaty)</f>
        <v>7959613</v>
      </c>
      <c r="H4" s="4">
        <f>SUM(C2:C201)</f>
        <v>8437189.7800000012</v>
      </c>
      <c r="M4">
        <v>10000</v>
      </c>
      <c r="N4">
        <v>0.06</v>
      </c>
    </row>
    <row r="5" spans="1:14" x14ac:dyDescent="0.2">
      <c r="A5">
        <v>8383</v>
      </c>
      <c r="B5" s="2">
        <f t="shared" si="0"/>
        <v>0.06</v>
      </c>
      <c r="C5" s="3">
        <f t="shared" si="1"/>
        <v>8885.98</v>
      </c>
      <c r="M5">
        <v>19999</v>
      </c>
      <c r="N5">
        <v>0.06</v>
      </c>
    </row>
    <row r="6" spans="1:14" x14ac:dyDescent="0.2">
      <c r="A6">
        <v>18588</v>
      </c>
      <c r="B6" s="2">
        <f t="shared" si="0"/>
        <v>0.06</v>
      </c>
      <c r="C6" s="3">
        <f t="shared" si="1"/>
        <v>19703.28</v>
      </c>
      <c r="M6">
        <v>29999</v>
      </c>
      <c r="N6">
        <v>0.06</v>
      </c>
    </row>
    <row r="7" spans="1:14" x14ac:dyDescent="0.2">
      <c r="A7">
        <v>38595</v>
      </c>
      <c r="B7" s="2">
        <f t="shared" si="0"/>
        <v>0.06</v>
      </c>
      <c r="C7" s="3">
        <f t="shared" si="1"/>
        <v>40910.699999999997</v>
      </c>
      <c r="M7">
        <v>39999</v>
      </c>
      <c r="N7">
        <v>0.06</v>
      </c>
    </row>
    <row r="8" spans="1:14" x14ac:dyDescent="0.2">
      <c r="A8">
        <v>61585</v>
      </c>
      <c r="B8" s="2">
        <f t="shared" si="0"/>
        <v>0.06</v>
      </c>
      <c r="C8" s="3">
        <f t="shared" si="1"/>
        <v>65280.1</v>
      </c>
      <c r="M8">
        <v>49999</v>
      </c>
      <c r="N8">
        <v>0.06</v>
      </c>
    </row>
    <row r="9" spans="1:14" x14ac:dyDescent="0.2">
      <c r="A9">
        <v>48277</v>
      </c>
      <c r="B9" s="2">
        <f t="shared" si="0"/>
        <v>0.06</v>
      </c>
      <c r="C9" s="3">
        <f t="shared" si="1"/>
        <v>51173.62</v>
      </c>
    </row>
    <row r="10" spans="1:14" x14ac:dyDescent="0.2">
      <c r="A10">
        <v>59183</v>
      </c>
      <c r="B10" s="2">
        <f t="shared" si="0"/>
        <v>0.06</v>
      </c>
      <c r="C10" s="3">
        <f t="shared" si="1"/>
        <v>62733.98</v>
      </c>
    </row>
    <row r="11" spans="1:14" x14ac:dyDescent="0.2">
      <c r="A11">
        <v>8028</v>
      </c>
      <c r="B11" s="2">
        <f t="shared" si="0"/>
        <v>0.06</v>
      </c>
      <c r="C11" s="3">
        <f t="shared" si="1"/>
        <v>8509.68</v>
      </c>
    </row>
    <row r="12" spans="1:14" x14ac:dyDescent="0.2">
      <c r="A12">
        <v>8560</v>
      </c>
      <c r="B12" s="2">
        <f t="shared" si="0"/>
        <v>0.06</v>
      </c>
      <c r="C12" s="3">
        <f t="shared" si="1"/>
        <v>9073.6</v>
      </c>
    </row>
    <row r="13" spans="1:14" x14ac:dyDescent="0.2">
      <c r="A13">
        <v>16307</v>
      </c>
      <c r="B13" s="2">
        <f t="shared" si="0"/>
        <v>0.06</v>
      </c>
      <c r="C13" s="3">
        <f t="shared" si="1"/>
        <v>17285.419999999998</v>
      </c>
    </row>
    <row r="14" spans="1:14" x14ac:dyDescent="0.2">
      <c r="A14">
        <v>48573</v>
      </c>
      <c r="B14" s="2">
        <f t="shared" si="0"/>
        <v>0.06</v>
      </c>
      <c r="C14" s="3">
        <f t="shared" si="1"/>
        <v>51487.38</v>
      </c>
    </row>
    <row r="15" spans="1:14" x14ac:dyDescent="0.2">
      <c r="A15">
        <v>68876</v>
      </c>
      <c r="B15" s="2">
        <f t="shared" si="0"/>
        <v>0.06</v>
      </c>
      <c r="C15" s="3">
        <f t="shared" si="1"/>
        <v>73008.56</v>
      </c>
    </row>
    <row r="16" spans="1:14" x14ac:dyDescent="0.2">
      <c r="A16">
        <v>21877</v>
      </c>
      <c r="B16" s="2">
        <f t="shared" si="0"/>
        <v>0.06</v>
      </c>
      <c r="C16" s="3">
        <f t="shared" si="1"/>
        <v>23189.62</v>
      </c>
    </row>
    <row r="17" spans="1:3" x14ac:dyDescent="0.2">
      <c r="A17">
        <v>5116</v>
      </c>
      <c r="B17" s="2">
        <f t="shared" si="0"/>
        <v>0.06</v>
      </c>
      <c r="C17" s="3">
        <f t="shared" si="1"/>
        <v>5422.96</v>
      </c>
    </row>
    <row r="18" spans="1:3" x14ac:dyDescent="0.2">
      <c r="A18">
        <v>61101</v>
      </c>
      <c r="B18" s="2">
        <f t="shared" si="0"/>
        <v>0.06</v>
      </c>
      <c r="C18" s="3">
        <f t="shared" si="1"/>
        <v>64767.06</v>
      </c>
    </row>
    <row r="19" spans="1:3" x14ac:dyDescent="0.2">
      <c r="A19">
        <v>75606</v>
      </c>
      <c r="B19" s="2">
        <f t="shared" si="0"/>
        <v>0.06</v>
      </c>
      <c r="C19" s="3">
        <f t="shared" si="1"/>
        <v>80142.36</v>
      </c>
    </row>
    <row r="20" spans="1:3" x14ac:dyDescent="0.2">
      <c r="A20">
        <v>58525</v>
      </c>
      <c r="B20" s="2">
        <f t="shared" si="0"/>
        <v>0.06</v>
      </c>
      <c r="C20" s="3">
        <f t="shared" si="1"/>
        <v>62036.5</v>
      </c>
    </row>
    <row r="21" spans="1:3" x14ac:dyDescent="0.2">
      <c r="A21">
        <v>66645</v>
      </c>
      <c r="B21" s="2">
        <f t="shared" si="0"/>
        <v>0.06</v>
      </c>
      <c r="C21" s="3">
        <f t="shared" si="1"/>
        <v>70643.7</v>
      </c>
    </row>
    <row r="22" spans="1:3" x14ac:dyDescent="0.2">
      <c r="A22">
        <v>48798</v>
      </c>
      <c r="B22" s="2">
        <f t="shared" si="0"/>
        <v>0.06</v>
      </c>
      <c r="C22" s="3">
        <f t="shared" si="1"/>
        <v>51725.88</v>
      </c>
    </row>
    <row r="23" spans="1:3" x14ac:dyDescent="0.2">
      <c r="A23">
        <v>44528</v>
      </c>
      <c r="B23" s="2">
        <f t="shared" si="0"/>
        <v>0.06</v>
      </c>
      <c r="C23" s="3">
        <f t="shared" si="1"/>
        <v>47199.68</v>
      </c>
    </row>
    <row r="24" spans="1:3" x14ac:dyDescent="0.2">
      <c r="A24">
        <v>57268</v>
      </c>
      <c r="B24" s="2">
        <f t="shared" si="0"/>
        <v>0.06</v>
      </c>
      <c r="C24" s="3">
        <f t="shared" si="1"/>
        <v>60704.08</v>
      </c>
    </row>
    <row r="25" spans="1:3" x14ac:dyDescent="0.2">
      <c r="A25">
        <v>26845</v>
      </c>
      <c r="B25" s="2">
        <f t="shared" si="0"/>
        <v>0.06</v>
      </c>
      <c r="C25" s="3">
        <f t="shared" si="1"/>
        <v>28455.7</v>
      </c>
    </row>
    <row r="26" spans="1:3" x14ac:dyDescent="0.2">
      <c r="A26">
        <v>57910</v>
      </c>
      <c r="B26" s="2">
        <f t="shared" si="0"/>
        <v>0.06</v>
      </c>
      <c r="C26" s="3">
        <f t="shared" si="1"/>
        <v>61384.6</v>
      </c>
    </row>
    <row r="27" spans="1:3" x14ac:dyDescent="0.2">
      <c r="A27">
        <v>46541</v>
      </c>
      <c r="B27" s="2">
        <f t="shared" si="0"/>
        <v>0.06</v>
      </c>
      <c r="C27" s="3">
        <f t="shared" si="1"/>
        <v>49333.46</v>
      </c>
    </row>
    <row r="28" spans="1:3" x14ac:dyDescent="0.2">
      <c r="A28">
        <v>64681</v>
      </c>
      <c r="B28" s="2">
        <f t="shared" si="0"/>
        <v>0.06</v>
      </c>
      <c r="C28" s="3">
        <f t="shared" si="1"/>
        <v>68561.86</v>
      </c>
    </row>
    <row r="29" spans="1:3" x14ac:dyDescent="0.2">
      <c r="A29">
        <v>75468</v>
      </c>
      <c r="B29" s="2">
        <f t="shared" si="0"/>
        <v>0.06</v>
      </c>
      <c r="C29" s="3">
        <f t="shared" si="1"/>
        <v>79996.08</v>
      </c>
    </row>
    <row r="30" spans="1:3" x14ac:dyDescent="0.2">
      <c r="A30">
        <v>62207</v>
      </c>
      <c r="B30" s="2">
        <f t="shared" si="0"/>
        <v>0.06</v>
      </c>
      <c r="C30" s="3">
        <f t="shared" si="1"/>
        <v>65939.42</v>
      </c>
    </row>
    <row r="31" spans="1:3" x14ac:dyDescent="0.2">
      <c r="A31">
        <v>6839</v>
      </c>
      <c r="B31" s="2">
        <f t="shared" si="0"/>
        <v>0.06</v>
      </c>
      <c r="C31" s="3">
        <f t="shared" si="1"/>
        <v>7249.34</v>
      </c>
    </row>
    <row r="32" spans="1:3" x14ac:dyDescent="0.2">
      <c r="A32">
        <v>64669</v>
      </c>
      <c r="B32" s="2">
        <f t="shared" si="0"/>
        <v>0.06</v>
      </c>
      <c r="C32" s="3">
        <f t="shared" si="1"/>
        <v>68549.14</v>
      </c>
    </row>
    <row r="33" spans="1:3" x14ac:dyDescent="0.2">
      <c r="A33">
        <v>43023</v>
      </c>
      <c r="B33" s="2">
        <f t="shared" si="0"/>
        <v>0.06</v>
      </c>
      <c r="C33" s="3">
        <f t="shared" si="1"/>
        <v>45604.38</v>
      </c>
    </row>
    <row r="34" spans="1:3" x14ac:dyDescent="0.2">
      <c r="A34">
        <v>21768</v>
      </c>
      <c r="B34" s="2">
        <f t="shared" si="0"/>
        <v>0.06</v>
      </c>
      <c r="C34" s="3">
        <f t="shared" si="1"/>
        <v>23074.080000000002</v>
      </c>
    </row>
    <row r="35" spans="1:3" x14ac:dyDescent="0.2">
      <c r="A35">
        <v>563</v>
      </c>
      <c r="B35" s="2">
        <f t="shared" si="0"/>
        <v>0.06</v>
      </c>
      <c r="C35" s="3">
        <f t="shared" si="1"/>
        <v>596.78</v>
      </c>
    </row>
    <row r="36" spans="1:3" x14ac:dyDescent="0.2">
      <c r="A36">
        <v>69335</v>
      </c>
      <c r="B36" s="2">
        <f t="shared" si="0"/>
        <v>0.06</v>
      </c>
      <c r="C36" s="3">
        <f t="shared" si="1"/>
        <v>73495.100000000006</v>
      </c>
    </row>
    <row r="37" spans="1:3" x14ac:dyDescent="0.2">
      <c r="A37">
        <v>44131</v>
      </c>
      <c r="B37" s="2">
        <f t="shared" si="0"/>
        <v>0.06</v>
      </c>
      <c r="C37" s="3">
        <f t="shared" si="1"/>
        <v>46778.86</v>
      </c>
    </row>
    <row r="38" spans="1:3" x14ac:dyDescent="0.2">
      <c r="A38">
        <v>72224</v>
      </c>
      <c r="B38" s="2">
        <f t="shared" si="0"/>
        <v>0.06</v>
      </c>
      <c r="C38" s="3">
        <f t="shared" si="1"/>
        <v>76557.440000000002</v>
      </c>
    </row>
    <row r="39" spans="1:3" x14ac:dyDescent="0.2">
      <c r="A39">
        <v>13829</v>
      </c>
      <c r="B39" s="2">
        <f t="shared" si="0"/>
        <v>0.06</v>
      </c>
      <c r="C39" s="3">
        <f t="shared" si="1"/>
        <v>14658.74</v>
      </c>
    </row>
    <row r="40" spans="1:3" x14ac:dyDescent="0.2">
      <c r="A40">
        <v>39613</v>
      </c>
      <c r="B40" s="2">
        <f t="shared" si="0"/>
        <v>0.06</v>
      </c>
      <c r="C40" s="3">
        <f t="shared" si="1"/>
        <v>41989.78</v>
      </c>
    </row>
    <row r="41" spans="1:3" x14ac:dyDescent="0.2">
      <c r="A41">
        <v>40430</v>
      </c>
      <c r="B41" s="2">
        <f t="shared" si="0"/>
        <v>0.06</v>
      </c>
      <c r="C41" s="3">
        <f t="shared" si="1"/>
        <v>42855.8</v>
      </c>
    </row>
    <row r="42" spans="1:3" x14ac:dyDescent="0.2">
      <c r="A42">
        <v>10225</v>
      </c>
      <c r="B42" s="2">
        <f t="shared" si="0"/>
        <v>0.06</v>
      </c>
      <c r="C42" s="3">
        <f t="shared" si="1"/>
        <v>10838.5</v>
      </c>
    </row>
    <row r="43" spans="1:3" x14ac:dyDescent="0.2">
      <c r="A43">
        <v>692</v>
      </c>
      <c r="B43" s="2">
        <f t="shared" si="0"/>
        <v>0.06</v>
      </c>
      <c r="C43" s="3">
        <f t="shared" si="1"/>
        <v>733.52</v>
      </c>
    </row>
    <row r="44" spans="1:3" x14ac:dyDescent="0.2">
      <c r="A44">
        <v>31311</v>
      </c>
      <c r="B44" s="2">
        <f t="shared" si="0"/>
        <v>0.06</v>
      </c>
      <c r="C44" s="3">
        <f t="shared" si="1"/>
        <v>33189.660000000003</v>
      </c>
    </row>
    <row r="45" spans="1:3" x14ac:dyDescent="0.2">
      <c r="A45">
        <v>58358</v>
      </c>
      <c r="B45" s="2">
        <f t="shared" si="0"/>
        <v>0.06</v>
      </c>
      <c r="C45" s="3">
        <f t="shared" si="1"/>
        <v>61859.48</v>
      </c>
    </row>
    <row r="46" spans="1:3" x14ac:dyDescent="0.2">
      <c r="A46">
        <v>14194</v>
      </c>
      <c r="B46" s="2">
        <f t="shared" si="0"/>
        <v>0.06</v>
      </c>
      <c r="C46" s="3">
        <f t="shared" si="1"/>
        <v>15045.64</v>
      </c>
    </row>
    <row r="47" spans="1:3" x14ac:dyDescent="0.2">
      <c r="A47">
        <v>63252</v>
      </c>
      <c r="B47" s="2">
        <f t="shared" si="0"/>
        <v>0.06</v>
      </c>
      <c r="C47" s="3">
        <f t="shared" si="1"/>
        <v>67047.12</v>
      </c>
    </row>
    <row r="48" spans="1:3" x14ac:dyDescent="0.2">
      <c r="A48">
        <v>36881</v>
      </c>
      <c r="B48" s="2">
        <f t="shared" si="0"/>
        <v>0.06</v>
      </c>
      <c r="C48" s="3">
        <f t="shared" si="1"/>
        <v>39093.86</v>
      </c>
    </row>
    <row r="49" spans="1:3" x14ac:dyDescent="0.2">
      <c r="A49">
        <v>30590</v>
      </c>
      <c r="B49" s="2">
        <f t="shared" si="0"/>
        <v>0.06</v>
      </c>
      <c r="C49" s="3">
        <f t="shared" si="1"/>
        <v>32425.4</v>
      </c>
    </row>
    <row r="50" spans="1:3" x14ac:dyDescent="0.2">
      <c r="A50">
        <v>58415</v>
      </c>
      <c r="B50" s="2">
        <f t="shared" si="0"/>
        <v>0.06</v>
      </c>
      <c r="C50" s="3">
        <f t="shared" si="1"/>
        <v>61919.9</v>
      </c>
    </row>
    <row r="51" spans="1:3" x14ac:dyDescent="0.2">
      <c r="A51">
        <v>36726</v>
      </c>
      <c r="B51" s="2">
        <f t="shared" si="0"/>
        <v>0.06</v>
      </c>
      <c r="C51" s="3">
        <f t="shared" si="1"/>
        <v>38929.56</v>
      </c>
    </row>
    <row r="52" spans="1:3" x14ac:dyDescent="0.2">
      <c r="A52">
        <v>79065</v>
      </c>
      <c r="B52" s="2">
        <f t="shared" si="0"/>
        <v>0.06</v>
      </c>
      <c r="C52" s="3">
        <f t="shared" si="1"/>
        <v>83808.899999999994</v>
      </c>
    </row>
    <row r="53" spans="1:3" x14ac:dyDescent="0.2">
      <c r="A53">
        <v>32003</v>
      </c>
      <c r="B53" s="2">
        <f t="shared" si="0"/>
        <v>0.06</v>
      </c>
      <c r="C53" s="3">
        <f t="shared" si="1"/>
        <v>33923.18</v>
      </c>
    </row>
    <row r="54" spans="1:3" x14ac:dyDescent="0.2">
      <c r="A54">
        <v>54098</v>
      </c>
      <c r="B54" s="2">
        <f t="shared" si="0"/>
        <v>0.06</v>
      </c>
      <c r="C54" s="3">
        <f t="shared" si="1"/>
        <v>57343.88</v>
      </c>
    </row>
    <row r="55" spans="1:3" x14ac:dyDescent="0.2">
      <c r="A55">
        <v>71402</v>
      </c>
      <c r="B55" s="2">
        <f t="shared" si="0"/>
        <v>0.06</v>
      </c>
      <c r="C55" s="3">
        <f t="shared" si="1"/>
        <v>75686.12</v>
      </c>
    </row>
    <row r="56" spans="1:3" x14ac:dyDescent="0.2">
      <c r="A56">
        <v>60056</v>
      </c>
      <c r="B56" s="2">
        <f t="shared" si="0"/>
        <v>0.06</v>
      </c>
      <c r="C56" s="3">
        <f t="shared" si="1"/>
        <v>63659.360000000001</v>
      </c>
    </row>
    <row r="57" spans="1:3" x14ac:dyDescent="0.2">
      <c r="A57">
        <v>4819</v>
      </c>
      <c r="B57" s="2">
        <f t="shared" si="0"/>
        <v>0.06</v>
      </c>
      <c r="C57" s="3">
        <f t="shared" si="1"/>
        <v>5108.1400000000003</v>
      </c>
    </row>
    <row r="58" spans="1:3" x14ac:dyDescent="0.2">
      <c r="A58">
        <v>602</v>
      </c>
      <c r="B58" s="2">
        <f t="shared" si="0"/>
        <v>0.06</v>
      </c>
      <c r="C58" s="3">
        <f t="shared" si="1"/>
        <v>638.12</v>
      </c>
    </row>
    <row r="59" spans="1:3" x14ac:dyDescent="0.2">
      <c r="A59">
        <v>66631</v>
      </c>
      <c r="B59" s="2">
        <f t="shared" si="0"/>
        <v>0.06</v>
      </c>
      <c r="C59" s="3">
        <f t="shared" si="1"/>
        <v>70628.86</v>
      </c>
    </row>
    <row r="60" spans="1:3" x14ac:dyDescent="0.2">
      <c r="A60">
        <v>10138</v>
      </c>
      <c r="B60" s="2">
        <f t="shared" si="0"/>
        <v>0.06</v>
      </c>
      <c r="C60" s="3">
        <f t="shared" si="1"/>
        <v>10746.28</v>
      </c>
    </row>
    <row r="61" spans="1:3" x14ac:dyDescent="0.2">
      <c r="A61">
        <v>3860</v>
      </c>
      <c r="B61" s="2">
        <f t="shared" si="0"/>
        <v>0.06</v>
      </c>
      <c r="C61" s="3">
        <f t="shared" si="1"/>
        <v>4091.6</v>
      </c>
    </row>
    <row r="62" spans="1:3" x14ac:dyDescent="0.2">
      <c r="A62">
        <v>33845</v>
      </c>
      <c r="B62" s="2">
        <f t="shared" si="0"/>
        <v>0.06</v>
      </c>
      <c r="C62" s="3">
        <f t="shared" si="1"/>
        <v>35875.699999999997</v>
      </c>
    </row>
    <row r="63" spans="1:3" x14ac:dyDescent="0.2">
      <c r="A63">
        <v>23511</v>
      </c>
      <c r="B63" s="2">
        <f t="shared" si="0"/>
        <v>0.06</v>
      </c>
      <c r="C63" s="3">
        <f t="shared" si="1"/>
        <v>24921.66</v>
      </c>
    </row>
    <row r="64" spans="1:3" x14ac:dyDescent="0.2">
      <c r="A64">
        <v>52924</v>
      </c>
      <c r="B64" s="2">
        <f t="shared" si="0"/>
        <v>0.06</v>
      </c>
      <c r="C64" s="3">
        <f t="shared" si="1"/>
        <v>56099.44</v>
      </c>
    </row>
    <row r="65" spans="1:3" x14ac:dyDescent="0.2">
      <c r="A65">
        <v>64079</v>
      </c>
      <c r="B65" s="2">
        <f t="shared" si="0"/>
        <v>0.06</v>
      </c>
      <c r="C65" s="3">
        <f t="shared" si="1"/>
        <v>67923.740000000005</v>
      </c>
    </row>
    <row r="66" spans="1:3" x14ac:dyDescent="0.2">
      <c r="A66">
        <v>79321</v>
      </c>
      <c r="B66" s="2">
        <f t="shared" si="0"/>
        <v>0.06</v>
      </c>
      <c r="C66" s="3">
        <f t="shared" si="1"/>
        <v>84080.26</v>
      </c>
    </row>
    <row r="67" spans="1:3" x14ac:dyDescent="0.2">
      <c r="A67">
        <v>24566</v>
      </c>
      <c r="B67" s="2">
        <f t="shared" ref="B67:B130" si="2">VLOOKUP(A67, $M$3:$N$8, 2, TRUE)</f>
        <v>0.06</v>
      </c>
      <c r="C67" s="3">
        <f t="shared" ref="C67:C130" si="3">ROUND(A67*B67+A67,2)</f>
        <v>26039.96</v>
      </c>
    </row>
    <row r="68" spans="1:3" x14ac:dyDescent="0.2">
      <c r="A68">
        <v>25644</v>
      </c>
      <c r="B68" s="2">
        <f t="shared" si="2"/>
        <v>0.06</v>
      </c>
      <c r="C68" s="3">
        <f t="shared" si="3"/>
        <v>27182.639999999999</v>
      </c>
    </row>
    <row r="69" spans="1:3" x14ac:dyDescent="0.2">
      <c r="A69">
        <v>46188</v>
      </c>
      <c r="B69" s="2">
        <f t="shared" si="2"/>
        <v>0.06</v>
      </c>
      <c r="C69" s="3">
        <f t="shared" si="3"/>
        <v>48959.28</v>
      </c>
    </row>
    <row r="70" spans="1:3" x14ac:dyDescent="0.2">
      <c r="A70">
        <v>65455</v>
      </c>
      <c r="B70" s="2">
        <f t="shared" si="2"/>
        <v>0.06</v>
      </c>
      <c r="C70" s="3">
        <f t="shared" si="3"/>
        <v>69382.3</v>
      </c>
    </row>
    <row r="71" spans="1:3" x14ac:dyDescent="0.2">
      <c r="A71">
        <v>77740</v>
      </c>
      <c r="B71" s="2">
        <f t="shared" si="2"/>
        <v>0.06</v>
      </c>
      <c r="C71" s="3">
        <f t="shared" si="3"/>
        <v>82404.399999999994</v>
      </c>
    </row>
    <row r="72" spans="1:3" x14ac:dyDescent="0.2">
      <c r="A72">
        <v>77025</v>
      </c>
      <c r="B72" s="2">
        <f t="shared" si="2"/>
        <v>0.06</v>
      </c>
      <c r="C72" s="3">
        <f t="shared" si="3"/>
        <v>81646.5</v>
      </c>
    </row>
    <row r="73" spans="1:3" x14ac:dyDescent="0.2">
      <c r="A73">
        <v>32760</v>
      </c>
      <c r="B73" s="2">
        <f t="shared" si="2"/>
        <v>0.06</v>
      </c>
      <c r="C73" s="3">
        <f t="shared" si="3"/>
        <v>34725.599999999999</v>
      </c>
    </row>
    <row r="74" spans="1:3" x14ac:dyDescent="0.2">
      <c r="A74">
        <v>9801</v>
      </c>
      <c r="B74" s="2">
        <f t="shared" si="2"/>
        <v>0.06</v>
      </c>
      <c r="C74" s="3">
        <f t="shared" si="3"/>
        <v>10389.06</v>
      </c>
    </row>
    <row r="75" spans="1:3" x14ac:dyDescent="0.2">
      <c r="A75">
        <v>18596</v>
      </c>
      <c r="B75" s="2">
        <f t="shared" si="2"/>
        <v>0.06</v>
      </c>
      <c r="C75" s="3">
        <f t="shared" si="3"/>
        <v>19711.759999999998</v>
      </c>
    </row>
    <row r="76" spans="1:3" x14ac:dyDescent="0.2">
      <c r="A76">
        <v>69793</v>
      </c>
      <c r="B76" s="2">
        <f t="shared" si="2"/>
        <v>0.06</v>
      </c>
      <c r="C76" s="3">
        <f t="shared" si="3"/>
        <v>73980.58</v>
      </c>
    </row>
    <row r="77" spans="1:3" x14ac:dyDescent="0.2">
      <c r="A77">
        <v>22708</v>
      </c>
      <c r="B77" s="2">
        <f t="shared" si="2"/>
        <v>0.06</v>
      </c>
      <c r="C77" s="3">
        <f t="shared" si="3"/>
        <v>24070.48</v>
      </c>
    </row>
    <row r="78" spans="1:3" x14ac:dyDescent="0.2">
      <c r="A78">
        <v>42628</v>
      </c>
      <c r="B78" s="2">
        <f t="shared" si="2"/>
        <v>0.06</v>
      </c>
      <c r="C78" s="3">
        <f t="shared" si="3"/>
        <v>45185.68</v>
      </c>
    </row>
    <row r="79" spans="1:3" x14ac:dyDescent="0.2">
      <c r="A79">
        <v>63239</v>
      </c>
      <c r="B79" s="2">
        <f t="shared" si="2"/>
        <v>0.06</v>
      </c>
      <c r="C79" s="3">
        <f t="shared" si="3"/>
        <v>67033.34</v>
      </c>
    </row>
    <row r="80" spans="1:3" x14ac:dyDescent="0.2">
      <c r="A80">
        <v>5251</v>
      </c>
      <c r="B80" s="2">
        <f t="shared" si="2"/>
        <v>0.06</v>
      </c>
      <c r="C80" s="3">
        <f t="shared" si="3"/>
        <v>5566.06</v>
      </c>
    </row>
    <row r="81" spans="1:3" x14ac:dyDescent="0.2">
      <c r="A81">
        <v>19304</v>
      </c>
      <c r="B81" s="2">
        <f t="shared" si="2"/>
        <v>0.06</v>
      </c>
      <c r="C81" s="3">
        <f t="shared" si="3"/>
        <v>20462.240000000002</v>
      </c>
    </row>
    <row r="82" spans="1:3" x14ac:dyDescent="0.2">
      <c r="A82">
        <v>76636</v>
      </c>
      <c r="B82" s="2">
        <f t="shared" si="2"/>
        <v>0.06</v>
      </c>
      <c r="C82" s="3">
        <f t="shared" si="3"/>
        <v>81234.16</v>
      </c>
    </row>
    <row r="83" spans="1:3" x14ac:dyDescent="0.2">
      <c r="A83">
        <v>49199</v>
      </c>
      <c r="B83" s="2">
        <f t="shared" si="2"/>
        <v>0.06</v>
      </c>
      <c r="C83" s="3">
        <f t="shared" si="3"/>
        <v>52150.94</v>
      </c>
    </row>
    <row r="84" spans="1:3" x14ac:dyDescent="0.2">
      <c r="A84">
        <v>73984</v>
      </c>
      <c r="B84" s="2">
        <f t="shared" si="2"/>
        <v>0.06</v>
      </c>
      <c r="C84" s="3">
        <f t="shared" si="3"/>
        <v>78423.039999999994</v>
      </c>
    </row>
    <row r="85" spans="1:3" x14ac:dyDescent="0.2">
      <c r="A85">
        <v>50591</v>
      </c>
      <c r="B85" s="2">
        <f t="shared" si="2"/>
        <v>0.06</v>
      </c>
      <c r="C85" s="3">
        <f t="shared" si="3"/>
        <v>53626.46</v>
      </c>
    </row>
    <row r="86" spans="1:3" x14ac:dyDescent="0.2">
      <c r="A86">
        <v>51159</v>
      </c>
      <c r="B86" s="2">
        <f t="shared" si="2"/>
        <v>0.06</v>
      </c>
      <c r="C86" s="3">
        <f t="shared" si="3"/>
        <v>54228.54</v>
      </c>
    </row>
    <row r="87" spans="1:3" x14ac:dyDescent="0.2">
      <c r="A87">
        <v>71296</v>
      </c>
      <c r="B87" s="2">
        <f t="shared" si="2"/>
        <v>0.06</v>
      </c>
      <c r="C87" s="3">
        <f t="shared" si="3"/>
        <v>75573.759999999995</v>
      </c>
    </row>
    <row r="88" spans="1:3" x14ac:dyDescent="0.2">
      <c r="A88">
        <v>56366</v>
      </c>
      <c r="B88" s="2">
        <f t="shared" si="2"/>
        <v>0.06</v>
      </c>
      <c r="C88" s="3">
        <f t="shared" si="3"/>
        <v>59747.96</v>
      </c>
    </row>
    <row r="89" spans="1:3" x14ac:dyDescent="0.2">
      <c r="A89">
        <v>10471</v>
      </c>
      <c r="B89" s="2">
        <f t="shared" si="2"/>
        <v>0.06</v>
      </c>
      <c r="C89" s="3">
        <f t="shared" si="3"/>
        <v>11099.26</v>
      </c>
    </row>
    <row r="90" spans="1:3" x14ac:dyDescent="0.2">
      <c r="A90">
        <v>22091</v>
      </c>
      <c r="B90" s="2">
        <f t="shared" si="2"/>
        <v>0.06</v>
      </c>
      <c r="C90" s="3">
        <f t="shared" si="3"/>
        <v>23416.46</v>
      </c>
    </row>
    <row r="91" spans="1:3" x14ac:dyDescent="0.2">
      <c r="A91">
        <v>28275</v>
      </c>
      <c r="B91" s="2">
        <f t="shared" si="2"/>
        <v>0.06</v>
      </c>
      <c r="C91" s="3">
        <f t="shared" si="3"/>
        <v>29971.5</v>
      </c>
    </row>
    <row r="92" spans="1:3" x14ac:dyDescent="0.2">
      <c r="A92">
        <v>59123</v>
      </c>
      <c r="B92" s="2">
        <f t="shared" si="2"/>
        <v>0.06</v>
      </c>
      <c r="C92" s="3">
        <f t="shared" si="3"/>
        <v>62670.38</v>
      </c>
    </row>
    <row r="93" spans="1:3" x14ac:dyDescent="0.2">
      <c r="A93">
        <v>73406</v>
      </c>
      <c r="B93" s="2">
        <f t="shared" si="2"/>
        <v>0.06</v>
      </c>
      <c r="C93" s="3">
        <f t="shared" si="3"/>
        <v>77810.36</v>
      </c>
    </row>
    <row r="94" spans="1:3" x14ac:dyDescent="0.2">
      <c r="A94">
        <v>50770</v>
      </c>
      <c r="B94" s="2">
        <f t="shared" si="2"/>
        <v>0.06</v>
      </c>
      <c r="C94" s="3">
        <f t="shared" si="3"/>
        <v>53816.2</v>
      </c>
    </row>
    <row r="95" spans="1:3" x14ac:dyDescent="0.2">
      <c r="A95">
        <v>78505</v>
      </c>
      <c r="B95" s="2">
        <f t="shared" si="2"/>
        <v>0.06</v>
      </c>
      <c r="C95" s="3">
        <f t="shared" si="3"/>
        <v>83215.3</v>
      </c>
    </row>
    <row r="96" spans="1:3" x14ac:dyDescent="0.2">
      <c r="A96">
        <v>20957</v>
      </c>
      <c r="B96" s="2">
        <f t="shared" si="2"/>
        <v>0.06</v>
      </c>
      <c r="C96" s="3">
        <f t="shared" si="3"/>
        <v>22214.42</v>
      </c>
    </row>
    <row r="97" spans="1:3" x14ac:dyDescent="0.2">
      <c r="A97">
        <v>6289</v>
      </c>
      <c r="B97" s="2">
        <f t="shared" si="2"/>
        <v>0.06</v>
      </c>
      <c r="C97" s="3">
        <f t="shared" si="3"/>
        <v>6666.34</v>
      </c>
    </row>
    <row r="98" spans="1:3" x14ac:dyDescent="0.2">
      <c r="A98">
        <v>268</v>
      </c>
      <c r="B98" s="2">
        <f t="shared" si="2"/>
        <v>0.06</v>
      </c>
      <c r="C98" s="3">
        <f t="shared" si="3"/>
        <v>284.08</v>
      </c>
    </row>
    <row r="99" spans="1:3" x14ac:dyDescent="0.2">
      <c r="A99">
        <v>1000</v>
      </c>
      <c r="B99" s="2">
        <f t="shared" si="2"/>
        <v>0.06</v>
      </c>
      <c r="C99" s="3">
        <f t="shared" si="3"/>
        <v>1060</v>
      </c>
    </row>
    <row r="100" spans="1:3" x14ac:dyDescent="0.2">
      <c r="A100">
        <v>69132</v>
      </c>
      <c r="B100" s="2">
        <f t="shared" si="2"/>
        <v>0.06</v>
      </c>
      <c r="C100" s="3">
        <f t="shared" si="3"/>
        <v>73279.92</v>
      </c>
    </row>
    <row r="101" spans="1:3" x14ac:dyDescent="0.2">
      <c r="A101">
        <v>71517</v>
      </c>
      <c r="B101" s="2">
        <f t="shared" si="2"/>
        <v>0.06</v>
      </c>
      <c r="C101" s="3">
        <f t="shared" si="3"/>
        <v>75808.02</v>
      </c>
    </row>
    <row r="102" spans="1:3" x14ac:dyDescent="0.2">
      <c r="A102">
        <v>71249</v>
      </c>
      <c r="B102" s="2">
        <f t="shared" si="2"/>
        <v>0.06</v>
      </c>
      <c r="C102" s="3">
        <f t="shared" si="3"/>
        <v>75523.94</v>
      </c>
    </row>
    <row r="103" spans="1:3" x14ac:dyDescent="0.2">
      <c r="A103">
        <v>49556</v>
      </c>
      <c r="B103" s="2">
        <f t="shared" si="2"/>
        <v>0.06</v>
      </c>
      <c r="C103" s="3">
        <f t="shared" si="3"/>
        <v>52529.36</v>
      </c>
    </row>
    <row r="104" spans="1:3" x14ac:dyDescent="0.2">
      <c r="A104">
        <v>36545</v>
      </c>
      <c r="B104" s="2">
        <f t="shared" si="2"/>
        <v>0.06</v>
      </c>
      <c r="C104" s="3">
        <f t="shared" si="3"/>
        <v>38737.699999999997</v>
      </c>
    </row>
    <row r="105" spans="1:3" x14ac:dyDescent="0.2">
      <c r="A105">
        <v>74113</v>
      </c>
      <c r="B105" s="2">
        <f t="shared" si="2"/>
        <v>0.06</v>
      </c>
      <c r="C105" s="3">
        <f t="shared" si="3"/>
        <v>78559.78</v>
      </c>
    </row>
    <row r="106" spans="1:3" x14ac:dyDescent="0.2">
      <c r="A106">
        <v>60472</v>
      </c>
      <c r="B106" s="2">
        <f t="shared" si="2"/>
        <v>0.06</v>
      </c>
      <c r="C106" s="3">
        <f t="shared" si="3"/>
        <v>64100.32</v>
      </c>
    </row>
    <row r="107" spans="1:3" x14ac:dyDescent="0.2">
      <c r="A107">
        <v>14520</v>
      </c>
      <c r="B107" s="2">
        <f t="shared" si="2"/>
        <v>0.06</v>
      </c>
      <c r="C107" s="3">
        <f t="shared" si="3"/>
        <v>15391.2</v>
      </c>
    </row>
    <row r="108" spans="1:3" x14ac:dyDescent="0.2">
      <c r="A108">
        <v>28046</v>
      </c>
      <c r="B108" s="2">
        <f t="shared" si="2"/>
        <v>0.06</v>
      </c>
      <c r="C108" s="3">
        <f t="shared" si="3"/>
        <v>29728.76</v>
      </c>
    </row>
    <row r="109" spans="1:3" x14ac:dyDescent="0.2">
      <c r="A109">
        <v>79936</v>
      </c>
      <c r="B109" s="2">
        <f t="shared" si="2"/>
        <v>0.06</v>
      </c>
      <c r="C109" s="3">
        <f t="shared" si="3"/>
        <v>84732.160000000003</v>
      </c>
    </row>
    <row r="110" spans="1:3" x14ac:dyDescent="0.2">
      <c r="A110">
        <v>36109</v>
      </c>
      <c r="B110" s="2">
        <f t="shared" si="2"/>
        <v>0.06</v>
      </c>
      <c r="C110" s="3">
        <f t="shared" si="3"/>
        <v>38275.54</v>
      </c>
    </row>
    <row r="111" spans="1:3" x14ac:dyDescent="0.2">
      <c r="A111">
        <v>42336</v>
      </c>
      <c r="B111" s="2">
        <f t="shared" si="2"/>
        <v>0.06</v>
      </c>
      <c r="C111" s="3">
        <f t="shared" si="3"/>
        <v>44876.160000000003</v>
      </c>
    </row>
    <row r="112" spans="1:3" x14ac:dyDescent="0.2">
      <c r="A112">
        <v>64550</v>
      </c>
      <c r="B112" s="2">
        <f t="shared" si="2"/>
        <v>0.06</v>
      </c>
      <c r="C112" s="3">
        <f t="shared" si="3"/>
        <v>68423</v>
      </c>
    </row>
    <row r="113" spans="1:3" x14ac:dyDescent="0.2">
      <c r="A113">
        <v>6342</v>
      </c>
      <c r="B113" s="2">
        <f t="shared" si="2"/>
        <v>0.06</v>
      </c>
      <c r="C113" s="3">
        <f t="shared" si="3"/>
        <v>6722.52</v>
      </c>
    </row>
    <row r="114" spans="1:3" x14ac:dyDescent="0.2">
      <c r="A114">
        <v>76170</v>
      </c>
      <c r="B114" s="2">
        <f t="shared" si="2"/>
        <v>0.06</v>
      </c>
      <c r="C114" s="3">
        <f t="shared" si="3"/>
        <v>80740.2</v>
      </c>
    </row>
    <row r="115" spans="1:3" x14ac:dyDescent="0.2">
      <c r="A115">
        <v>23751</v>
      </c>
      <c r="B115" s="2">
        <f t="shared" si="2"/>
        <v>0.06</v>
      </c>
      <c r="C115" s="3">
        <f t="shared" si="3"/>
        <v>25176.06</v>
      </c>
    </row>
    <row r="116" spans="1:3" x14ac:dyDescent="0.2">
      <c r="A116">
        <v>7756</v>
      </c>
      <c r="B116" s="2">
        <f t="shared" si="2"/>
        <v>0.06</v>
      </c>
      <c r="C116" s="3">
        <f t="shared" si="3"/>
        <v>8221.36</v>
      </c>
    </row>
    <row r="117" spans="1:3" x14ac:dyDescent="0.2">
      <c r="A117">
        <v>24673</v>
      </c>
      <c r="B117" s="2">
        <f t="shared" si="2"/>
        <v>0.06</v>
      </c>
      <c r="C117" s="3">
        <f t="shared" si="3"/>
        <v>26153.38</v>
      </c>
    </row>
    <row r="118" spans="1:3" x14ac:dyDescent="0.2">
      <c r="A118">
        <v>67375</v>
      </c>
      <c r="B118" s="2">
        <f t="shared" si="2"/>
        <v>0.06</v>
      </c>
      <c r="C118" s="3">
        <f t="shared" si="3"/>
        <v>71417.5</v>
      </c>
    </row>
    <row r="119" spans="1:3" x14ac:dyDescent="0.2">
      <c r="A119">
        <v>43911</v>
      </c>
      <c r="B119" s="2">
        <f t="shared" si="2"/>
        <v>0.06</v>
      </c>
      <c r="C119" s="3">
        <f t="shared" si="3"/>
        <v>46545.66</v>
      </c>
    </row>
    <row r="120" spans="1:3" x14ac:dyDescent="0.2">
      <c r="A120">
        <v>19276</v>
      </c>
      <c r="B120" s="2">
        <f t="shared" si="2"/>
        <v>0.06</v>
      </c>
      <c r="C120" s="3">
        <f t="shared" si="3"/>
        <v>20432.560000000001</v>
      </c>
    </row>
    <row r="121" spans="1:3" x14ac:dyDescent="0.2">
      <c r="A121">
        <v>12423</v>
      </c>
      <c r="B121" s="2">
        <f t="shared" si="2"/>
        <v>0.06</v>
      </c>
      <c r="C121" s="3">
        <f t="shared" si="3"/>
        <v>13168.38</v>
      </c>
    </row>
    <row r="122" spans="1:3" x14ac:dyDescent="0.2">
      <c r="A122">
        <v>78517</v>
      </c>
      <c r="B122" s="2">
        <f t="shared" si="2"/>
        <v>0.06</v>
      </c>
      <c r="C122" s="3">
        <f t="shared" si="3"/>
        <v>83228.02</v>
      </c>
    </row>
    <row r="123" spans="1:3" x14ac:dyDescent="0.2">
      <c r="A123">
        <v>16941</v>
      </c>
      <c r="B123" s="2">
        <f t="shared" si="2"/>
        <v>0.06</v>
      </c>
      <c r="C123" s="3">
        <f t="shared" si="3"/>
        <v>17957.46</v>
      </c>
    </row>
    <row r="124" spans="1:3" x14ac:dyDescent="0.2">
      <c r="A124">
        <v>25374</v>
      </c>
      <c r="B124" s="2">
        <f t="shared" si="2"/>
        <v>0.06</v>
      </c>
      <c r="C124" s="3">
        <f t="shared" si="3"/>
        <v>26896.44</v>
      </c>
    </row>
    <row r="125" spans="1:3" x14ac:dyDescent="0.2">
      <c r="A125">
        <v>76189</v>
      </c>
      <c r="B125" s="2">
        <f t="shared" si="2"/>
        <v>0.06</v>
      </c>
      <c r="C125" s="3">
        <f t="shared" si="3"/>
        <v>80760.34</v>
      </c>
    </row>
    <row r="126" spans="1:3" x14ac:dyDescent="0.2">
      <c r="A126">
        <v>27099</v>
      </c>
      <c r="B126" s="2">
        <f t="shared" si="2"/>
        <v>0.06</v>
      </c>
      <c r="C126" s="3">
        <f t="shared" si="3"/>
        <v>28724.94</v>
      </c>
    </row>
    <row r="127" spans="1:3" x14ac:dyDescent="0.2">
      <c r="A127">
        <v>39916</v>
      </c>
      <c r="B127" s="2">
        <f t="shared" si="2"/>
        <v>0.06</v>
      </c>
      <c r="C127" s="3">
        <f t="shared" si="3"/>
        <v>42310.96</v>
      </c>
    </row>
    <row r="128" spans="1:3" x14ac:dyDescent="0.2">
      <c r="A128">
        <v>50075</v>
      </c>
      <c r="B128" s="2">
        <f t="shared" si="2"/>
        <v>0.06</v>
      </c>
      <c r="C128" s="3">
        <f t="shared" si="3"/>
        <v>53079.5</v>
      </c>
    </row>
    <row r="129" spans="1:3" x14ac:dyDescent="0.2">
      <c r="A129">
        <v>14918</v>
      </c>
      <c r="B129" s="2">
        <f t="shared" si="2"/>
        <v>0.06</v>
      </c>
      <c r="C129" s="3">
        <f t="shared" si="3"/>
        <v>15813.08</v>
      </c>
    </row>
    <row r="130" spans="1:3" x14ac:dyDescent="0.2">
      <c r="A130">
        <v>11502</v>
      </c>
      <c r="B130" s="2">
        <f t="shared" si="2"/>
        <v>0.06</v>
      </c>
      <c r="C130" s="3">
        <f t="shared" si="3"/>
        <v>12192.12</v>
      </c>
    </row>
    <row r="131" spans="1:3" x14ac:dyDescent="0.2">
      <c r="A131">
        <v>5009</v>
      </c>
      <c r="B131" s="2">
        <f t="shared" ref="B131:B194" si="4">VLOOKUP(A131, $M$3:$N$8, 2, TRUE)</f>
        <v>0.06</v>
      </c>
      <c r="C131" s="3">
        <f t="shared" ref="C131:C194" si="5">ROUND(A131*B131+A131,2)</f>
        <v>5309.54</v>
      </c>
    </row>
    <row r="132" spans="1:3" x14ac:dyDescent="0.2">
      <c r="A132">
        <v>53818</v>
      </c>
      <c r="B132" s="2">
        <f t="shared" si="4"/>
        <v>0.06</v>
      </c>
      <c r="C132" s="3">
        <f t="shared" si="5"/>
        <v>57047.08</v>
      </c>
    </row>
    <row r="133" spans="1:3" x14ac:dyDescent="0.2">
      <c r="A133">
        <v>43242</v>
      </c>
      <c r="B133" s="2">
        <f t="shared" si="4"/>
        <v>0.06</v>
      </c>
      <c r="C133" s="3">
        <f t="shared" si="5"/>
        <v>45836.52</v>
      </c>
    </row>
    <row r="134" spans="1:3" x14ac:dyDescent="0.2">
      <c r="A134">
        <v>18681</v>
      </c>
      <c r="B134" s="2">
        <f t="shared" si="4"/>
        <v>0.06</v>
      </c>
      <c r="C134" s="3">
        <f t="shared" si="5"/>
        <v>19801.86</v>
      </c>
    </row>
    <row r="135" spans="1:3" x14ac:dyDescent="0.2">
      <c r="A135">
        <v>52956</v>
      </c>
      <c r="B135" s="2">
        <f t="shared" si="4"/>
        <v>0.06</v>
      </c>
      <c r="C135" s="3">
        <f t="shared" si="5"/>
        <v>56133.36</v>
      </c>
    </row>
    <row r="136" spans="1:3" x14ac:dyDescent="0.2">
      <c r="A136">
        <v>54442</v>
      </c>
      <c r="B136" s="2">
        <f t="shared" si="4"/>
        <v>0.06</v>
      </c>
      <c r="C136" s="3">
        <f t="shared" si="5"/>
        <v>57708.52</v>
      </c>
    </row>
    <row r="137" spans="1:3" x14ac:dyDescent="0.2">
      <c r="A137">
        <v>34208</v>
      </c>
      <c r="B137" s="2">
        <f t="shared" si="4"/>
        <v>0.06</v>
      </c>
      <c r="C137" s="3">
        <f t="shared" si="5"/>
        <v>36260.480000000003</v>
      </c>
    </row>
    <row r="138" spans="1:3" x14ac:dyDescent="0.2">
      <c r="A138">
        <v>14249</v>
      </c>
      <c r="B138" s="2">
        <f t="shared" si="4"/>
        <v>0.06</v>
      </c>
      <c r="C138" s="3">
        <f t="shared" si="5"/>
        <v>15103.94</v>
      </c>
    </row>
    <row r="139" spans="1:3" x14ac:dyDescent="0.2">
      <c r="A139">
        <v>51489</v>
      </c>
      <c r="B139" s="2">
        <f t="shared" si="4"/>
        <v>0.06</v>
      </c>
      <c r="C139" s="3">
        <f t="shared" si="5"/>
        <v>54578.34</v>
      </c>
    </row>
    <row r="140" spans="1:3" x14ac:dyDescent="0.2">
      <c r="A140">
        <v>26005</v>
      </c>
      <c r="B140" s="2">
        <f t="shared" si="4"/>
        <v>0.06</v>
      </c>
      <c r="C140" s="3">
        <f t="shared" si="5"/>
        <v>27565.3</v>
      </c>
    </row>
    <row r="141" spans="1:3" x14ac:dyDescent="0.2">
      <c r="A141">
        <v>38848</v>
      </c>
      <c r="B141" s="2">
        <f t="shared" si="4"/>
        <v>0.06</v>
      </c>
      <c r="C141" s="3">
        <f t="shared" si="5"/>
        <v>41178.879999999997</v>
      </c>
    </row>
    <row r="142" spans="1:3" x14ac:dyDescent="0.2">
      <c r="A142">
        <v>77453</v>
      </c>
      <c r="B142" s="2">
        <f t="shared" si="4"/>
        <v>0.06</v>
      </c>
      <c r="C142" s="3">
        <f t="shared" si="5"/>
        <v>82100.179999999993</v>
      </c>
    </row>
    <row r="143" spans="1:3" x14ac:dyDescent="0.2">
      <c r="A143">
        <v>10490</v>
      </c>
      <c r="B143" s="2">
        <f t="shared" si="4"/>
        <v>0.06</v>
      </c>
      <c r="C143" s="3">
        <f t="shared" si="5"/>
        <v>11119.4</v>
      </c>
    </row>
    <row r="144" spans="1:3" x14ac:dyDescent="0.2">
      <c r="A144">
        <v>14727</v>
      </c>
      <c r="B144" s="2">
        <f t="shared" si="4"/>
        <v>0.06</v>
      </c>
      <c r="C144" s="3">
        <f t="shared" si="5"/>
        <v>15610.62</v>
      </c>
    </row>
    <row r="145" spans="1:3" x14ac:dyDescent="0.2">
      <c r="A145">
        <v>69402</v>
      </c>
      <c r="B145" s="2">
        <f t="shared" si="4"/>
        <v>0.06</v>
      </c>
      <c r="C145" s="3">
        <f t="shared" si="5"/>
        <v>73566.12</v>
      </c>
    </row>
    <row r="146" spans="1:3" x14ac:dyDescent="0.2">
      <c r="A146">
        <v>35081</v>
      </c>
      <c r="B146" s="2">
        <f t="shared" si="4"/>
        <v>0.06</v>
      </c>
      <c r="C146" s="3">
        <f t="shared" si="5"/>
        <v>37185.86</v>
      </c>
    </row>
    <row r="147" spans="1:3" x14ac:dyDescent="0.2">
      <c r="A147">
        <v>22598</v>
      </c>
      <c r="B147" s="2">
        <f t="shared" si="4"/>
        <v>0.06</v>
      </c>
      <c r="C147" s="3">
        <f t="shared" si="5"/>
        <v>23953.88</v>
      </c>
    </row>
    <row r="148" spans="1:3" x14ac:dyDescent="0.2">
      <c r="A148">
        <v>40493</v>
      </c>
      <c r="B148" s="2">
        <f t="shared" si="4"/>
        <v>0.06</v>
      </c>
      <c r="C148" s="3">
        <f t="shared" si="5"/>
        <v>42922.58</v>
      </c>
    </row>
    <row r="149" spans="1:3" x14ac:dyDescent="0.2">
      <c r="A149">
        <v>11407</v>
      </c>
      <c r="B149" s="2">
        <f t="shared" si="4"/>
        <v>0.06</v>
      </c>
      <c r="C149" s="3">
        <f t="shared" si="5"/>
        <v>12091.42</v>
      </c>
    </row>
    <row r="150" spans="1:3" x14ac:dyDescent="0.2">
      <c r="A150">
        <v>24624</v>
      </c>
      <c r="B150" s="2">
        <f t="shared" si="4"/>
        <v>0.06</v>
      </c>
      <c r="C150" s="3">
        <f t="shared" si="5"/>
        <v>26101.439999999999</v>
      </c>
    </row>
    <row r="151" spans="1:3" x14ac:dyDescent="0.2">
      <c r="A151">
        <v>3691</v>
      </c>
      <c r="B151" s="2">
        <f t="shared" si="4"/>
        <v>0.06</v>
      </c>
      <c r="C151" s="3">
        <f t="shared" si="5"/>
        <v>3912.46</v>
      </c>
    </row>
    <row r="152" spans="1:3" x14ac:dyDescent="0.2">
      <c r="A152">
        <v>45933</v>
      </c>
      <c r="B152" s="2">
        <f t="shared" si="4"/>
        <v>0.06</v>
      </c>
      <c r="C152" s="3">
        <f t="shared" si="5"/>
        <v>48688.98</v>
      </c>
    </row>
    <row r="153" spans="1:3" x14ac:dyDescent="0.2">
      <c r="A153">
        <v>1388</v>
      </c>
      <c r="B153" s="2">
        <f t="shared" si="4"/>
        <v>0.06</v>
      </c>
      <c r="C153" s="3">
        <f t="shared" si="5"/>
        <v>1471.28</v>
      </c>
    </row>
    <row r="154" spans="1:3" x14ac:dyDescent="0.2">
      <c r="A154">
        <v>77221</v>
      </c>
      <c r="B154" s="2">
        <f t="shared" si="4"/>
        <v>0.06</v>
      </c>
      <c r="C154" s="3">
        <f t="shared" si="5"/>
        <v>81854.259999999995</v>
      </c>
    </row>
    <row r="155" spans="1:3" x14ac:dyDescent="0.2">
      <c r="A155">
        <v>38764</v>
      </c>
      <c r="B155" s="2">
        <f t="shared" si="4"/>
        <v>0.06</v>
      </c>
      <c r="C155" s="3">
        <f t="shared" si="5"/>
        <v>41089.839999999997</v>
      </c>
    </row>
    <row r="156" spans="1:3" x14ac:dyDescent="0.2">
      <c r="A156">
        <v>10706</v>
      </c>
      <c r="B156" s="2">
        <f t="shared" si="4"/>
        <v>0.06</v>
      </c>
      <c r="C156" s="3">
        <f t="shared" si="5"/>
        <v>11348.36</v>
      </c>
    </row>
    <row r="157" spans="1:3" x14ac:dyDescent="0.2">
      <c r="A157">
        <v>41494</v>
      </c>
      <c r="B157" s="2">
        <f t="shared" si="4"/>
        <v>0.06</v>
      </c>
      <c r="C157" s="3">
        <f t="shared" si="5"/>
        <v>43983.64</v>
      </c>
    </row>
    <row r="158" spans="1:3" x14ac:dyDescent="0.2">
      <c r="A158">
        <v>53146</v>
      </c>
      <c r="B158" s="2">
        <f t="shared" si="4"/>
        <v>0.06</v>
      </c>
      <c r="C158" s="3">
        <f t="shared" si="5"/>
        <v>56334.76</v>
      </c>
    </row>
    <row r="159" spans="1:3" x14ac:dyDescent="0.2">
      <c r="A159">
        <v>55053</v>
      </c>
      <c r="B159" s="2">
        <f t="shared" si="4"/>
        <v>0.06</v>
      </c>
      <c r="C159" s="3">
        <f t="shared" si="5"/>
        <v>58356.18</v>
      </c>
    </row>
    <row r="160" spans="1:3" x14ac:dyDescent="0.2">
      <c r="A160">
        <v>53986</v>
      </c>
      <c r="B160" s="2">
        <f t="shared" si="4"/>
        <v>0.06</v>
      </c>
      <c r="C160" s="3">
        <f t="shared" si="5"/>
        <v>57225.16</v>
      </c>
    </row>
    <row r="161" spans="1:3" x14ac:dyDescent="0.2">
      <c r="A161">
        <v>53465</v>
      </c>
      <c r="B161" s="2">
        <f t="shared" si="4"/>
        <v>0.06</v>
      </c>
      <c r="C161" s="3">
        <f t="shared" si="5"/>
        <v>56672.9</v>
      </c>
    </row>
    <row r="162" spans="1:3" x14ac:dyDescent="0.2">
      <c r="A162">
        <v>16027</v>
      </c>
      <c r="B162" s="2">
        <f t="shared" si="4"/>
        <v>0.06</v>
      </c>
      <c r="C162" s="3">
        <f t="shared" si="5"/>
        <v>16988.62</v>
      </c>
    </row>
    <row r="163" spans="1:3" x14ac:dyDescent="0.2">
      <c r="A163">
        <v>71121</v>
      </c>
      <c r="B163" s="2">
        <f t="shared" si="4"/>
        <v>0.06</v>
      </c>
      <c r="C163" s="3">
        <f t="shared" si="5"/>
        <v>75388.259999999995</v>
      </c>
    </row>
    <row r="164" spans="1:3" x14ac:dyDescent="0.2">
      <c r="A164">
        <v>68886</v>
      </c>
      <c r="B164" s="2">
        <f t="shared" si="4"/>
        <v>0.06</v>
      </c>
      <c r="C164" s="3">
        <f t="shared" si="5"/>
        <v>73019.16</v>
      </c>
    </row>
    <row r="165" spans="1:3" x14ac:dyDescent="0.2">
      <c r="A165">
        <v>65587</v>
      </c>
      <c r="B165" s="2">
        <f t="shared" si="4"/>
        <v>0.06</v>
      </c>
      <c r="C165" s="3">
        <f t="shared" si="5"/>
        <v>69522.22</v>
      </c>
    </row>
    <row r="166" spans="1:3" x14ac:dyDescent="0.2">
      <c r="A166">
        <v>72828</v>
      </c>
      <c r="B166" s="2">
        <f t="shared" si="4"/>
        <v>0.06</v>
      </c>
      <c r="C166" s="3">
        <f t="shared" si="5"/>
        <v>77197.679999999993</v>
      </c>
    </row>
    <row r="167" spans="1:3" x14ac:dyDescent="0.2">
      <c r="A167">
        <v>54778</v>
      </c>
      <c r="B167" s="2">
        <f t="shared" si="4"/>
        <v>0.06</v>
      </c>
      <c r="C167" s="3">
        <f t="shared" si="5"/>
        <v>58064.68</v>
      </c>
    </row>
    <row r="168" spans="1:3" x14ac:dyDescent="0.2">
      <c r="A168">
        <v>3946</v>
      </c>
      <c r="B168" s="2">
        <f t="shared" si="4"/>
        <v>0.06</v>
      </c>
      <c r="C168" s="3">
        <f t="shared" si="5"/>
        <v>4182.76</v>
      </c>
    </row>
    <row r="169" spans="1:3" x14ac:dyDescent="0.2">
      <c r="A169">
        <v>37078</v>
      </c>
      <c r="B169" s="2">
        <f t="shared" si="4"/>
        <v>0.06</v>
      </c>
      <c r="C169" s="3">
        <f t="shared" si="5"/>
        <v>39302.68</v>
      </c>
    </row>
    <row r="170" spans="1:3" x14ac:dyDescent="0.2">
      <c r="A170">
        <v>53536</v>
      </c>
      <c r="B170" s="2">
        <f t="shared" si="4"/>
        <v>0.06</v>
      </c>
      <c r="C170" s="3">
        <f t="shared" si="5"/>
        <v>56748.160000000003</v>
      </c>
    </row>
    <row r="171" spans="1:3" x14ac:dyDescent="0.2">
      <c r="A171">
        <v>77088</v>
      </c>
      <c r="B171" s="2">
        <f t="shared" si="4"/>
        <v>0.06</v>
      </c>
      <c r="C171" s="3">
        <f t="shared" si="5"/>
        <v>81713.279999999999</v>
      </c>
    </row>
    <row r="172" spans="1:3" x14ac:dyDescent="0.2">
      <c r="A172">
        <v>7158</v>
      </c>
      <c r="B172" s="2">
        <f t="shared" si="4"/>
        <v>0.06</v>
      </c>
      <c r="C172" s="3">
        <f t="shared" si="5"/>
        <v>7587.48</v>
      </c>
    </row>
    <row r="173" spans="1:3" x14ac:dyDescent="0.2">
      <c r="A173">
        <v>52922</v>
      </c>
      <c r="B173" s="2">
        <f t="shared" si="4"/>
        <v>0.06</v>
      </c>
      <c r="C173" s="3">
        <f t="shared" si="5"/>
        <v>56097.32</v>
      </c>
    </row>
    <row r="174" spans="1:3" x14ac:dyDescent="0.2">
      <c r="A174">
        <v>26901</v>
      </c>
      <c r="B174" s="2">
        <f t="shared" si="4"/>
        <v>0.06</v>
      </c>
      <c r="C174" s="3">
        <f t="shared" si="5"/>
        <v>28515.06</v>
      </c>
    </row>
    <row r="175" spans="1:3" x14ac:dyDescent="0.2">
      <c r="A175">
        <v>19543</v>
      </c>
      <c r="B175" s="2">
        <f t="shared" si="4"/>
        <v>0.06</v>
      </c>
      <c r="C175" s="3">
        <f t="shared" si="5"/>
        <v>20715.580000000002</v>
      </c>
    </row>
    <row r="176" spans="1:3" x14ac:dyDescent="0.2">
      <c r="A176">
        <v>50643</v>
      </c>
      <c r="B176" s="2">
        <f t="shared" si="4"/>
        <v>0.06</v>
      </c>
      <c r="C176" s="3">
        <f t="shared" si="5"/>
        <v>53681.58</v>
      </c>
    </row>
    <row r="177" spans="1:3" x14ac:dyDescent="0.2">
      <c r="A177">
        <v>62474</v>
      </c>
      <c r="B177" s="2">
        <f t="shared" si="4"/>
        <v>0.06</v>
      </c>
      <c r="C177" s="3">
        <f t="shared" si="5"/>
        <v>66222.44</v>
      </c>
    </row>
    <row r="178" spans="1:3" x14ac:dyDescent="0.2">
      <c r="A178">
        <v>18993</v>
      </c>
      <c r="B178" s="2">
        <f t="shared" si="4"/>
        <v>0.06</v>
      </c>
      <c r="C178" s="3">
        <f t="shared" si="5"/>
        <v>20132.580000000002</v>
      </c>
    </row>
    <row r="179" spans="1:3" x14ac:dyDescent="0.2">
      <c r="A179">
        <v>49005</v>
      </c>
      <c r="B179" s="2">
        <f t="shared" si="4"/>
        <v>0.06</v>
      </c>
      <c r="C179" s="3">
        <f t="shared" si="5"/>
        <v>51945.3</v>
      </c>
    </row>
    <row r="180" spans="1:3" x14ac:dyDescent="0.2">
      <c r="A180">
        <v>14739</v>
      </c>
      <c r="B180" s="2">
        <f t="shared" si="4"/>
        <v>0.06</v>
      </c>
      <c r="C180" s="3">
        <f t="shared" si="5"/>
        <v>15623.34</v>
      </c>
    </row>
    <row r="181" spans="1:3" x14ac:dyDescent="0.2">
      <c r="A181">
        <v>3022</v>
      </c>
      <c r="B181" s="2">
        <f t="shared" si="4"/>
        <v>0.06</v>
      </c>
      <c r="C181" s="3">
        <f t="shared" si="5"/>
        <v>3203.32</v>
      </c>
    </row>
    <row r="182" spans="1:3" x14ac:dyDescent="0.2">
      <c r="A182">
        <v>36598</v>
      </c>
      <c r="B182" s="2">
        <f t="shared" si="4"/>
        <v>0.06</v>
      </c>
      <c r="C182" s="3">
        <f t="shared" si="5"/>
        <v>38793.879999999997</v>
      </c>
    </row>
    <row r="183" spans="1:3" x14ac:dyDescent="0.2">
      <c r="A183">
        <v>33848</v>
      </c>
      <c r="B183" s="2">
        <f t="shared" si="4"/>
        <v>0.06</v>
      </c>
      <c r="C183" s="3">
        <f t="shared" si="5"/>
        <v>35878.879999999997</v>
      </c>
    </row>
    <row r="184" spans="1:3" x14ac:dyDescent="0.2">
      <c r="A184">
        <v>3830</v>
      </c>
      <c r="B184" s="2">
        <f t="shared" si="4"/>
        <v>0.06</v>
      </c>
      <c r="C184" s="3">
        <f t="shared" si="5"/>
        <v>4059.8</v>
      </c>
    </row>
    <row r="185" spans="1:3" x14ac:dyDescent="0.2">
      <c r="A185">
        <v>15818</v>
      </c>
      <c r="B185" s="2">
        <f t="shared" si="4"/>
        <v>0.06</v>
      </c>
      <c r="C185" s="3">
        <f t="shared" si="5"/>
        <v>16767.080000000002</v>
      </c>
    </row>
    <row r="186" spans="1:3" x14ac:dyDescent="0.2">
      <c r="A186">
        <v>21448</v>
      </c>
      <c r="B186" s="2">
        <f t="shared" si="4"/>
        <v>0.06</v>
      </c>
      <c r="C186" s="3">
        <f t="shared" si="5"/>
        <v>22734.880000000001</v>
      </c>
    </row>
    <row r="187" spans="1:3" x14ac:dyDescent="0.2">
      <c r="A187">
        <v>28592</v>
      </c>
      <c r="B187" s="2">
        <f t="shared" si="4"/>
        <v>0.06</v>
      </c>
      <c r="C187" s="3">
        <f t="shared" si="5"/>
        <v>30307.52</v>
      </c>
    </row>
    <row r="188" spans="1:3" x14ac:dyDescent="0.2">
      <c r="A188">
        <v>72694</v>
      </c>
      <c r="B188" s="2">
        <f t="shared" si="4"/>
        <v>0.06</v>
      </c>
      <c r="C188" s="3">
        <f t="shared" si="5"/>
        <v>77055.64</v>
      </c>
    </row>
    <row r="189" spans="1:3" x14ac:dyDescent="0.2">
      <c r="A189">
        <v>77122</v>
      </c>
      <c r="B189" s="2">
        <f t="shared" si="4"/>
        <v>0.06</v>
      </c>
      <c r="C189" s="3">
        <f t="shared" si="5"/>
        <v>81749.320000000007</v>
      </c>
    </row>
    <row r="190" spans="1:3" x14ac:dyDescent="0.2">
      <c r="A190">
        <v>1546</v>
      </c>
      <c r="B190" s="2">
        <f t="shared" si="4"/>
        <v>0.06</v>
      </c>
      <c r="C190" s="3">
        <f t="shared" si="5"/>
        <v>1638.76</v>
      </c>
    </row>
    <row r="191" spans="1:3" x14ac:dyDescent="0.2">
      <c r="A191">
        <v>9431</v>
      </c>
      <c r="B191" s="2">
        <f t="shared" si="4"/>
        <v>0.06</v>
      </c>
      <c r="C191" s="3">
        <f t="shared" si="5"/>
        <v>9996.86</v>
      </c>
    </row>
    <row r="192" spans="1:3" x14ac:dyDescent="0.2">
      <c r="A192">
        <v>66005</v>
      </c>
      <c r="B192" s="2">
        <f t="shared" si="4"/>
        <v>0.06</v>
      </c>
      <c r="C192" s="3">
        <f t="shared" si="5"/>
        <v>69965.3</v>
      </c>
    </row>
    <row r="193" spans="1:3" x14ac:dyDescent="0.2">
      <c r="A193">
        <v>5764</v>
      </c>
      <c r="B193" s="2">
        <f t="shared" si="4"/>
        <v>0.06</v>
      </c>
      <c r="C193" s="3">
        <f t="shared" si="5"/>
        <v>6109.84</v>
      </c>
    </row>
    <row r="194" spans="1:3" x14ac:dyDescent="0.2">
      <c r="A194">
        <v>11818</v>
      </c>
      <c r="B194" s="2">
        <f t="shared" si="4"/>
        <v>0.06</v>
      </c>
      <c r="C194" s="3">
        <f t="shared" si="5"/>
        <v>12527.08</v>
      </c>
    </row>
    <row r="195" spans="1:3" x14ac:dyDescent="0.2">
      <c r="A195">
        <v>41470</v>
      </c>
      <c r="B195" s="2">
        <f t="shared" ref="B195:B201" si="6">VLOOKUP(A195, $M$3:$N$8, 2, TRUE)</f>
        <v>0.06</v>
      </c>
      <c r="C195" s="3">
        <f t="shared" ref="C195:C201" si="7">ROUND(A195*B195+A195,2)</f>
        <v>43958.2</v>
      </c>
    </row>
    <row r="196" spans="1:3" x14ac:dyDescent="0.2">
      <c r="A196">
        <v>26028</v>
      </c>
      <c r="B196" s="2">
        <f t="shared" si="6"/>
        <v>0.06</v>
      </c>
      <c r="C196" s="3">
        <f t="shared" si="7"/>
        <v>27589.68</v>
      </c>
    </row>
    <row r="197" spans="1:3" x14ac:dyDescent="0.2">
      <c r="A197">
        <v>52118</v>
      </c>
      <c r="B197" s="2">
        <f t="shared" si="6"/>
        <v>0.06</v>
      </c>
      <c r="C197" s="3">
        <f t="shared" si="7"/>
        <v>55245.08</v>
      </c>
    </row>
    <row r="198" spans="1:3" x14ac:dyDescent="0.2">
      <c r="A198">
        <v>62466</v>
      </c>
      <c r="B198" s="2">
        <f t="shared" si="6"/>
        <v>0.06</v>
      </c>
      <c r="C198" s="3">
        <f t="shared" si="7"/>
        <v>66213.960000000006</v>
      </c>
    </row>
    <row r="199" spans="1:3" x14ac:dyDescent="0.2">
      <c r="A199">
        <v>55746</v>
      </c>
      <c r="B199" s="2">
        <f t="shared" si="6"/>
        <v>0.06</v>
      </c>
      <c r="C199" s="3">
        <f t="shared" si="7"/>
        <v>59090.76</v>
      </c>
    </row>
    <row r="200" spans="1:3" x14ac:dyDescent="0.2">
      <c r="A200">
        <v>34738</v>
      </c>
      <c r="B200" s="2">
        <f t="shared" si="6"/>
        <v>0.06</v>
      </c>
      <c r="C200" s="3">
        <f t="shared" si="7"/>
        <v>36822.28</v>
      </c>
    </row>
    <row r="201" spans="1:3" x14ac:dyDescent="0.2">
      <c r="A201">
        <v>4376</v>
      </c>
      <c r="B201" s="2">
        <f t="shared" si="6"/>
        <v>0.06</v>
      </c>
      <c r="C201" s="3">
        <f t="shared" si="7"/>
        <v>4638.5600000000004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D881-4DB7-F541-A452-17AE9B583A78}">
  <dimension ref="A1:M366"/>
  <sheetViews>
    <sheetView zoomScale="125" workbookViewId="0">
      <selection activeCell="H2" sqref="H2:J3"/>
    </sheetView>
  </sheetViews>
  <sheetFormatPr baseColWidth="10" defaultRowHeight="16" x14ac:dyDescent="0.2"/>
  <cols>
    <col min="2" max="2" width="7.33203125" style="3" bestFit="1" customWidth="1"/>
    <col min="3" max="3" width="10.5" style="3" bestFit="1" customWidth="1"/>
  </cols>
  <sheetData>
    <row r="1" spans="1:13" x14ac:dyDescent="0.2">
      <c r="A1" t="s">
        <v>13</v>
      </c>
      <c r="B1" s="3" t="s">
        <v>12</v>
      </c>
      <c r="C1" s="3" t="s">
        <v>17</v>
      </c>
      <c r="D1" t="s">
        <v>15</v>
      </c>
      <c r="E1" t="s">
        <v>14</v>
      </c>
      <c r="M1" s="1"/>
    </row>
    <row r="2" spans="1:13" x14ac:dyDescent="0.2">
      <c r="A2" s="5">
        <v>38353</v>
      </c>
      <c r="B2">
        <v>4.0202</v>
      </c>
      <c r="C2" t="b">
        <f>FALSE</f>
        <v>0</v>
      </c>
      <c r="D2" t="b">
        <f>TRUE</f>
        <v>1</v>
      </c>
      <c r="E2">
        <v>4974.88</v>
      </c>
      <c r="H2" s="4" t="s">
        <v>16</v>
      </c>
      <c r="I2" s="4">
        <v>1</v>
      </c>
      <c r="J2" s="4">
        <v>21301.753119999998</v>
      </c>
    </row>
    <row r="3" spans="1:13" x14ac:dyDescent="0.2">
      <c r="A3" s="5">
        <v>38354</v>
      </c>
      <c r="B3">
        <v>4.0095000000000001</v>
      </c>
      <c r="C3" t="b">
        <f>B2&lt;B3</f>
        <v>0</v>
      </c>
      <c r="D3" t="b">
        <f>IF(D2,IF(C3,FALSE,TRUE),FALSE)</f>
        <v>1</v>
      </c>
      <c r="E3">
        <f t="shared" ref="E3:E5" si="0">IF(D2,IF(C3,E2*B3,E2),ROUND(E2/B3,2))</f>
        <v>4974.88</v>
      </c>
      <c r="H3" s="4"/>
      <c r="I3" s="4">
        <v>2</v>
      </c>
      <c r="J3" s="4">
        <v>24917.91</v>
      </c>
    </row>
    <row r="4" spans="1:13" x14ac:dyDescent="0.2">
      <c r="A4" s="5">
        <v>38355</v>
      </c>
      <c r="B4">
        <v>3.9773000000000001</v>
      </c>
      <c r="C4" t="b">
        <f t="shared" ref="C4:C67" si="1">B3&lt;B4</f>
        <v>0</v>
      </c>
      <c r="D4" t="b">
        <f t="shared" ref="D4:D67" si="2">IF(D3,IF(C4,FALSE,TRUE),TRUE)</f>
        <v>1</v>
      </c>
      <c r="E4">
        <f t="shared" si="0"/>
        <v>4974.88</v>
      </c>
    </row>
    <row r="5" spans="1:13" x14ac:dyDescent="0.2">
      <c r="A5" s="5">
        <v>38356</v>
      </c>
      <c r="B5">
        <v>3.9986999999999999</v>
      </c>
      <c r="C5" t="b">
        <f t="shared" si="1"/>
        <v>1</v>
      </c>
      <c r="D5" t="b">
        <f t="shared" si="2"/>
        <v>0</v>
      </c>
      <c r="E5">
        <f t="shared" si="0"/>
        <v>19893.052656</v>
      </c>
    </row>
    <row r="6" spans="1:13" x14ac:dyDescent="0.2">
      <c r="A6" s="5">
        <v>38357</v>
      </c>
      <c r="B6">
        <v>3.9891000000000001</v>
      </c>
      <c r="C6" t="b">
        <f t="shared" si="1"/>
        <v>0</v>
      </c>
      <c r="D6" t="b">
        <f t="shared" si="2"/>
        <v>1</v>
      </c>
      <c r="E6">
        <f>IF(D5,IF(C6,E5*B6,E5),ROUND(E5/B6,2))</f>
        <v>4986.8500000000004</v>
      </c>
    </row>
    <row r="7" spans="1:13" x14ac:dyDescent="0.2">
      <c r="A7" s="5">
        <v>38358</v>
      </c>
      <c r="B7">
        <v>4</v>
      </c>
      <c r="C7" t="b">
        <f t="shared" si="1"/>
        <v>1</v>
      </c>
      <c r="D7" t="b">
        <f t="shared" si="2"/>
        <v>0</v>
      </c>
      <c r="E7">
        <f t="shared" ref="E7:E70" si="3">IF(D6,IF(C7,E6*B7,E6),ROUND(E6/B7,2))</f>
        <v>19947.400000000001</v>
      </c>
    </row>
    <row r="8" spans="1:13" x14ac:dyDescent="0.2">
      <c r="A8" s="5">
        <v>38359</v>
      </c>
      <c r="B8">
        <v>4.0284000000000004</v>
      </c>
      <c r="C8" t="b">
        <f t="shared" si="1"/>
        <v>1</v>
      </c>
      <c r="D8" t="b">
        <f t="shared" si="2"/>
        <v>1</v>
      </c>
      <c r="E8">
        <f t="shared" si="3"/>
        <v>4951.6899999999996</v>
      </c>
    </row>
    <row r="9" spans="1:13" x14ac:dyDescent="0.2">
      <c r="A9" s="5">
        <v>38360</v>
      </c>
      <c r="B9">
        <v>4.0199999999999996</v>
      </c>
      <c r="C9" t="b">
        <f t="shared" si="1"/>
        <v>0</v>
      </c>
      <c r="D9" t="b">
        <f t="shared" si="2"/>
        <v>1</v>
      </c>
      <c r="E9">
        <f t="shared" si="3"/>
        <v>4951.6899999999996</v>
      </c>
    </row>
    <row r="10" spans="1:13" x14ac:dyDescent="0.2">
      <c r="A10" s="5">
        <v>38361</v>
      </c>
      <c r="B10">
        <v>4.0167000000000002</v>
      </c>
      <c r="C10" t="b">
        <f t="shared" si="1"/>
        <v>0</v>
      </c>
      <c r="D10" t="b">
        <f t="shared" si="2"/>
        <v>1</v>
      </c>
      <c r="E10">
        <f t="shared" si="3"/>
        <v>4951.6899999999996</v>
      </c>
    </row>
    <row r="11" spans="1:13" x14ac:dyDescent="0.2">
      <c r="A11" s="5">
        <v>38362</v>
      </c>
      <c r="B11">
        <v>4.0273000000000003</v>
      </c>
      <c r="C11" t="b">
        <f t="shared" si="1"/>
        <v>1</v>
      </c>
      <c r="D11" t="b">
        <f t="shared" si="2"/>
        <v>0</v>
      </c>
      <c r="E11">
        <f t="shared" si="3"/>
        <v>19941.941137000002</v>
      </c>
    </row>
    <row r="12" spans="1:13" x14ac:dyDescent="0.2">
      <c r="A12" s="5">
        <v>38363</v>
      </c>
      <c r="B12">
        <v>4.0138999999999996</v>
      </c>
      <c r="C12" t="b">
        <f t="shared" si="1"/>
        <v>0</v>
      </c>
      <c r="D12" t="b">
        <f t="shared" si="2"/>
        <v>1</v>
      </c>
      <c r="E12">
        <f t="shared" si="3"/>
        <v>4968.22</v>
      </c>
    </row>
    <row r="13" spans="1:13" x14ac:dyDescent="0.2">
      <c r="A13" s="5">
        <v>38364</v>
      </c>
      <c r="B13">
        <v>4.0071000000000003</v>
      </c>
      <c r="C13" t="b">
        <f t="shared" si="1"/>
        <v>0</v>
      </c>
      <c r="D13" t="b">
        <f t="shared" si="2"/>
        <v>1</v>
      </c>
      <c r="E13">
        <f t="shared" si="3"/>
        <v>4968.22</v>
      </c>
    </row>
    <row r="14" spans="1:13" x14ac:dyDescent="0.2">
      <c r="A14" s="5">
        <v>38365</v>
      </c>
      <c r="B14">
        <v>4.0608000000000004</v>
      </c>
      <c r="C14" t="b">
        <f t="shared" si="1"/>
        <v>1</v>
      </c>
      <c r="D14" t="b">
        <f t="shared" si="2"/>
        <v>0</v>
      </c>
      <c r="E14">
        <f t="shared" si="3"/>
        <v>20174.947776000005</v>
      </c>
    </row>
    <row r="15" spans="1:13" x14ac:dyDescent="0.2">
      <c r="A15" s="5">
        <v>38366</v>
      </c>
      <c r="B15">
        <v>4.0643000000000002</v>
      </c>
      <c r="C15" t="b">
        <f t="shared" si="1"/>
        <v>1</v>
      </c>
      <c r="D15" t="b">
        <f t="shared" si="2"/>
        <v>1</v>
      </c>
      <c r="E15">
        <f t="shared" si="3"/>
        <v>4963.9399999999996</v>
      </c>
    </row>
    <row r="16" spans="1:13" x14ac:dyDescent="0.2">
      <c r="A16" s="5">
        <v>38367</v>
      </c>
      <c r="B16">
        <v>4.0667</v>
      </c>
      <c r="C16" t="b">
        <f t="shared" si="1"/>
        <v>1</v>
      </c>
      <c r="D16" t="b">
        <f t="shared" si="2"/>
        <v>0</v>
      </c>
      <c r="E16">
        <f t="shared" si="3"/>
        <v>20186.854797999997</v>
      </c>
    </row>
    <row r="17" spans="1:5" x14ac:dyDescent="0.2">
      <c r="A17" s="5">
        <v>38368</v>
      </c>
      <c r="B17">
        <v>4.1372999999999998</v>
      </c>
      <c r="C17" t="b">
        <f t="shared" si="1"/>
        <v>1</v>
      </c>
      <c r="D17" t="b">
        <f t="shared" si="2"/>
        <v>1</v>
      </c>
      <c r="E17">
        <f t="shared" si="3"/>
        <v>4879.2299999999996</v>
      </c>
    </row>
    <row r="18" spans="1:5" x14ac:dyDescent="0.2">
      <c r="A18" s="5">
        <v>38369</v>
      </c>
      <c r="B18">
        <v>4.2412999999999998</v>
      </c>
      <c r="C18" t="b">
        <f t="shared" si="1"/>
        <v>1</v>
      </c>
      <c r="D18" t="b">
        <f t="shared" si="2"/>
        <v>0</v>
      </c>
      <c r="E18">
        <f t="shared" si="3"/>
        <v>20694.278198999997</v>
      </c>
    </row>
    <row r="19" spans="1:5" x14ac:dyDescent="0.2">
      <c r="A19" s="5">
        <v>38370</v>
      </c>
      <c r="B19">
        <v>4.1680999999999999</v>
      </c>
      <c r="C19" t="b">
        <f t="shared" si="1"/>
        <v>0</v>
      </c>
      <c r="D19" t="b">
        <f t="shared" si="2"/>
        <v>1</v>
      </c>
      <c r="E19">
        <f t="shared" si="3"/>
        <v>4964.92</v>
      </c>
    </row>
    <row r="20" spans="1:5" x14ac:dyDescent="0.2">
      <c r="A20" s="5">
        <v>38371</v>
      </c>
      <c r="B20">
        <v>4.1864999999999997</v>
      </c>
      <c r="C20" t="b">
        <f t="shared" si="1"/>
        <v>1</v>
      </c>
      <c r="D20" t="b">
        <f t="shared" si="2"/>
        <v>0</v>
      </c>
      <c r="E20">
        <f t="shared" si="3"/>
        <v>20785.637579999999</v>
      </c>
    </row>
    <row r="21" spans="1:5" x14ac:dyDescent="0.2">
      <c r="A21" s="5">
        <v>38372</v>
      </c>
      <c r="B21">
        <v>4.1562999999999999</v>
      </c>
      <c r="C21" t="b">
        <f t="shared" si="1"/>
        <v>0</v>
      </c>
      <c r="D21" t="b">
        <f t="shared" si="2"/>
        <v>1</v>
      </c>
      <c r="E21">
        <f t="shared" si="3"/>
        <v>5001</v>
      </c>
    </row>
    <row r="22" spans="1:5" x14ac:dyDescent="0.2">
      <c r="A22" s="5">
        <v>38373</v>
      </c>
      <c r="B22">
        <v>4.1384999999999996</v>
      </c>
      <c r="C22" t="b">
        <f t="shared" si="1"/>
        <v>0</v>
      </c>
      <c r="D22" t="b">
        <f t="shared" si="2"/>
        <v>1</v>
      </c>
      <c r="E22">
        <f t="shared" si="3"/>
        <v>5001</v>
      </c>
    </row>
    <row r="23" spans="1:5" x14ac:dyDescent="0.2">
      <c r="A23" s="5">
        <v>38374</v>
      </c>
      <c r="B23">
        <v>4.0887000000000002</v>
      </c>
      <c r="C23" t="b">
        <f t="shared" si="1"/>
        <v>0</v>
      </c>
      <c r="D23" t="b">
        <f t="shared" si="2"/>
        <v>1</v>
      </c>
      <c r="E23">
        <f t="shared" si="3"/>
        <v>5001</v>
      </c>
    </row>
    <row r="24" spans="1:5" x14ac:dyDescent="0.2">
      <c r="A24" s="5">
        <v>38375</v>
      </c>
      <c r="B24">
        <v>4.1285999999999996</v>
      </c>
      <c r="C24" t="b">
        <f t="shared" si="1"/>
        <v>1</v>
      </c>
      <c r="D24" t="b">
        <f t="shared" si="2"/>
        <v>0</v>
      </c>
      <c r="E24">
        <f t="shared" si="3"/>
        <v>20647.128599999996</v>
      </c>
    </row>
    <row r="25" spans="1:5" x14ac:dyDescent="0.2">
      <c r="A25" s="5">
        <v>38376</v>
      </c>
      <c r="B25">
        <v>4.1059999999999999</v>
      </c>
      <c r="C25" t="b">
        <f t="shared" si="1"/>
        <v>0</v>
      </c>
      <c r="D25" t="b">
        <f t="shared" si="2"/>
        <v>1</v>
      </c>
      <c r="E25">
        <f t="shared" si="3"/>
        <v>5028.53</v>
      </c>
    </row>
    <row r="26" spans="1:5" x14ac:dyDescent="0.2">
      <c r="A26" s="5">
        <v>38377</v>
      </c>
      <c r="B26">
        <v>4.1486000000000001</v>
      </c>
      <c r="C26" t="b">
        <f t="shared" si="1"/>
        <v>1</v>
      </c>
      <c r="D26" t="b">
        <f t="shared" si="2"/>
        <v>0</v>
      </c>
      <c r="E26">
        <f t="shared" si="3"/>
        <v>20861.359558</v>
      </c>
    </row>
    <row r="27" spans="1:5" x14ac:dyDescent="0.2">
      <c r="A27" s="5">
        <v>38378</v>
      </c>
      <c r="B27">
        <v>4.1718000000000002</v>
      </c>
      <c r="C27" t="b">
        <f t="shared" si="1"/>
        <v>1</v>
      </c>
      <c r="D27" t="b">
        <f t="shared" si="2"/>
        <v>1</v>
      </c>
      <c r="E27">
        <f t="shared" si="3"/>
        <v>5000.57</v>
      </c>
    </row>
    <row r="28" spans="1:5" x14ac:dyDescent="0.2">
      <c r="A28" s="5">
        <v>38379</v>
      </c>
      <c r="B28">
        <v>4.1668000000000003</v>
      </c>
      <c r="C28" t="b">
        <f t="shared" si="1"/>
        <v>0</v>
      </c>
      <c r="D28" t="b">
        <f t="shared" si="2"/>
        <v>1</v>
      </c>
      <c r="E28">
        <f t="shared" si="3"/>
        <v>5000.57</v>
      </c>
    </row>
    <row r="29" spans="1:5" x14ac:dyDescent="0.2">
      <c r="A29" s="5">
        <v>38380</v>
      </c>
      <c r="B29">
        <v>4.1489000000000003</v>
      </c>
      <c r="C29" t="b">
        <f t="shared" si="1"/>
        <v>0</v>
      </c>
      <c r="D29" t="b">
        <f t="shared" si="2"/>
        <v>1</v>
      </c>
      <c r="E29">
        <f t="shared" si="3"/>
        <v>5000.57</v>
      </c>
    </row>
    <row r="30" spans="1:5" x14ac:dyDescent="0.2">
      <c r="A30" s="5">
        <v>38381</v>
      </c>
      <c r="B30">
        <v>4.1680999999999999</v>
      </c>
      <c r="C30" t="b">
        <f t="shared" si="1"/>
        <v>1</v>
      </c>
      <c r="D30" t="b">
        <f t="shared" si="2"/>
        <v>0</v>
      </c>
      <c r="E30">
        <f t="shared" si="3"/>
        <v>20842.875817</v>
      </c>
    </row>
    <row r="31" spans="1:5" x14ac:dyDescent="0.2">
      <c r="A31" s="5">
        <v>38382</v>
      </c>
      <c r="B31">
        <v>4.1332000000000004</v>
      </c>
      <c r="C31" t="b">
        <f t="shared" si="1"/>
        <v>0</v>
      </c>
      <c r="D31" t="b">
        <f t="shared" si="2"/>
        <v>1</v>
      </c>
      <c r="E31">
        <f t="shared" si="3"/>
        <v>5042.79</v>
      </c>
    </row>
    <row r="32" spans="1:5" x14ac:dyDescent="0.2">
      <c r="A32" s="5">
        <v>38383</v>
      </c>
      <c r="B32">
        <v>4.1425000000000001</v>
      </c>
      <c r="C32" t="b">
        <f t="shared" si="1"/>
        <v>1</v>
      </c>
      <c r="D32" t="b">
        <f t="shared" si="2"/>
        <v>0</v>
      </c>
      <c r="E32">
        <f t="shared" si="3"/>
        <v>20889.757575</v>
      </c>
    </row>
    <row r="33" spans="1:5" x14ac:dyDescent="0.2">
      <c r="A33" s="5">
        <v>38384</v>
      </c>
      <c r="B33">
        <v>4.1555999999999997</v>
      </c>
      <c r="C33" t="b">
        <f t="shared" si="1"/>
        <v>1</v>
      </c>
      <c r="D33" t="b">
        <f t="shared" si="2"/>
        <v>1</v>
      </c>
      <c r="E33">
        <f t="shared" si="3"/>
        <v>5026.8900000000003</v>
      </c>
    </row>
    <row r="34" spans="1:5" x14ac:dyDescent="0.2">
      <c r="A34" s="5">
        <v>38385</v>
      </c>
      <c r="B34">
        <v>4.1704999999999997</v>
      </c>
      <c r="C34" t="b">
        <f t="shared" si="1"/>
        <v>1</v>
      </c>
      <c r="D34" t="b">
        <f t="shared" si="2"/>
        <v>0</v>
      </c>
      <c r="E34">
        <f t="shared" si="3"/>
        <v>20964.644745000001</v>
      </c>
    </row>
    <row r="35" spans="1:5" x14ac:dyDescent="0.2">
      <c r="A35" s="5">
        <v>38386</v>
      </c>
      <c r="B35">
        <v>4.1452999999999998</v>
      </c>
      <c r="C35" t="b">
        <f t="shared" si="1"/>
        <v>0</v>
      </c>
      <c r="D35" t="b">
        <f t="shared" si="2"/>
        <v>1</v>
      </c>
      <c r="E35">
        <f t="shared" si="3"/>
        <v>5057.45</v>
      </c>
    </row>
    <row r="36" spans="1:5" x14ac:dyDescent="0.2">
      <c r="A36" s="5">
        <v>38387</v>
      </c>
      <c r="B36">
        <v>4.1421999999999999</v>
      </c>
      <c r="C36" t="b">
        <f t="shared" si="1"/>
        <v>0</v>
      </c>
      <c r="D36" t="b">
        <f t="shared" si="2"/>
        <v>1</v>
      </c>
      <c r="E36">
        <f t="shared" si="3"/>
        <v>5057.45</v>
      </c>
    </row>
    <row r="37" spans="1:5" x14ac:dyDescent="0.2">
      <c r="A37" s="5">
        <v>38388</v>
      </c>
      <c r="B37">
        <v>4.1496000000000004</v>
      </c>
      <c r="C37" t="b">
        <f t="shared" si="1"/>
        <v>1</v>
      </c>
      <c r="D37" t="b">
        <f t="shared" si="2"/>
        <v>0</v>
      </c>
      <c r="E37">
        <f t="shared" si="3"/>
        <v>20986.394520000002</v>
      </c>
    </row>
    <row r="38" spans="1:5" x14ac:dyDescent="0.2">
      <c r="A38" s="5">
        <v>38389</v>
      </c>
      <c r="B38">
        <v>4.1874000000000002</v>
      </c>
      <c r="C38" t="b">
        <f t="shared" si="1"/>
        <v>1</v>
      </c>
      <c r="D38" t="b">
        <f t="shared" si="2"/>
        <v>1</v>
      </c>
      <c r="E38">
        <f t="shared" si="3"/>
        <v>5011.8</v>
      </c>
    </row>
    <row r="39" spans="1:5" x14ac:dyDescent="0.2">
      <c r="A39" s="5">
        <v>38390</v>
      </c>
      <c r="B39">
        <v>4.2035999999999998</v>
      </c>
      <c r="C39" t="b">
        <f t="shared" si="1"/>
        <v>1</v>
      </c>
      <c r="D39" t="b">
        <f t="shared" si="2"/>
        <v>0</v>
      </c>
      <c r="E39">
        <f t="shared" si="3"/>
        <v>21067.602480000001</v>
      </c>
    </row>
    <row r="40" spans="1:5" x14ac:dyDescent="0.2">
      <c r="A40" s="5">
        <v>38391</v>
      </c>
      <c r="B40">
        <v>4.1848999999999998</v>
      </c>
      <c r="C40" t="b">
        <f t="shared" si="1"/>
        <v>0</v>
      </c>
      <c r="D40" t="b">
        <f t="shared" si="2"/>
        <v>1</v>
      </c>
      <c r="E40">
        <f t="shared" si="3"/>
        <v>5034.1899999999996</v>
      </c>
    </row>
    <row r="41" spans="1:5" x14ac:dyDescent="0.2">
      <c r="A41" s="5">
        <v>38392</v>
      </c>
      <c r="B41">
        <v>4.1936999999999998</v>
      </c>
      <c r="C41" t="b">
        <f t="shared" si="1"/>
        <v>1</v>
      </c>
      <c r="D41" t="b">
        <f t="shared" si="2"/>
        <v>0</v>
      </c>
      <c r="E41">
        <f t="shared" si="3"/>
        <v>21111.882602999998</v>
      </c>
    </row>
    <row r="42" spans="1:5" x14ac:dyDescent="0.2">
      <c r="A42" s="5">
        <v>38393</v>
      </c>
      <c r="B42">
        <v>4.1792999999999996</v>
      </c>
      <c r="C42" t="b">
        <f t="shared" si="1"/>
        <v>0</v>
      </c>
      <c r="D42" t="b">
        <f t="shared" si="2"/>
        <v>1</v>
      </c>
      <c r="E42">
        <f t="shared" si="3"/>
        <v>5051.54</v>
      </c>
    </row>
    <row r="43" spans="1:5" x14ac:dyDescent="0.2">
      <c r="A43" s="5">
        <v>38394</v>
      </c>
      <c r="B43">
        <v>4.1965000000000003</v>
      </c>
      <c r="C43" t="b">
        <f t="shared" si="1"/>
        <v>1</v>
      </c>
      <c r="D43" t="b">
        <f t="shared" si="2"/>
        <v>0</v>
      </c>
      <c r="E43">
        <f t="shared" si="3"/>
        <v>21198.787610000003</v>
      </c>
    </row>
    <row r="44" spans="1:5" x14ac:dyDescent="0.2">
      <c r="A44" s="5">
        <v>38395</v>
      </c>
      <c r="B44">
        <v>4.2083000000000004</v>
      </c>
      <c r="C44" t="b">
        <f t="shared" si="1"/>
        <v>1</v>
      </c>
      <c r="D44" t="b">
        <f t="shared" si="2"/>
        <v>1</v>
      </c>
      <c r="E44">
        <f t="shared" si="3"/>
        <v>5037.38</v>
      </c>
    </row>
    <row r="45" spans="1:5" x14ac:dyDescent="0.2">
      <c r="A45" s="5">
        <v>38396</v>
      </c>
      <c r="B45">
        <v>4.2740999999999998</v>
      </c>
      <c r="C45" t="b">
        <f t="shared" si="1"/>
        <v>1</v>
      </c>
      <c r="D45" t="b">
        <f t="shared" si="2"/>
        <v>0</v>
      </c>
      <c r="E45">
        <f t="shared" si="3"/>
        <v>21530.265857999999</v>
      </c>
    </row>
    <row r="46" spans="1:5" x14ac:dyDescent="0.2">
      <c r="A46" s="5">
        <v>38397</v>
      </c>
      <c r="B46">
        <v>4.3125999999999998</v>
      </c>
      <c r="C46" t="b">
        <f t="shared" si="1"/>
        <v>1</v>
      </c>
      <c r="D46" t="b">
        <f t="shared" si="2"/>
        <v>1</v>
      </c>
      <c r="E46">
        <f t="shared" si="3"/>
        <v>4992.41</v>
      </c>
    </row>
    <row r="47" spans="1:5" x14ac:dyDescent="0.2">
      <c r="A47" s="5">
        <v>38398</v>
      </c>
      <c r="B47">
        <v>4.3132999999999999</v>
      </c>
      <c r="C47" t="b">
        <f t="shared" si="1"/>
        <v>1</v>
      </c>
      <c r="D47" t="b">
        <f t="shared" si="2"/>
        <v>0</v>
      </c>
      <c r="E47">
        <f t="shared" si="3"/>
        <v>21533.762052999999</v>
      </c>
    </row>
    <row r="48" spans="1:5" x14ac:dyDescent="0.2">
      <c r="A48" s="5">
        <v>38399</v>
      </c>
      <c r="B48">
        <v>4.2812999999999999</v>
      </c>
      <c r="C48" t="b">
        <f t="shared" si="1"/>
        <v>0</v>
      </c>
      <c r="D48" t="b">
        <f t="shared" si="2"/>
        <v>1</v>
      </c>
      <c r="E48">
        <f t="shared" si="3"/>
        <v>5029.7299999999996</v>
      </c>
    </row>
    <row r="49" spans="1:5" x14ac:dyDescent="0.2">
      <c r="A49" s="5">
        <v>38400</v>
      </c>
      <c r="B49">
        <v>4.2976999999999999</v>
      </c>
      <c r="C49" t="b">
        <f t="shared" si="1"/>
        <v>1</v>
      </c>
      <c r="D49" t="b">
        <f t="shared" si="2"/>
        <v>0</v>
      </c>
      <c r="E49">
        <f t="shared" si="3"/>
        <v>21616.270620999996</v>
      </c>
    </row>
    <row r="50" spans="1:5" x14ac:dyDescent="0.2">
      <c r="A50" s="5">
        <v>38401</v>
      </c>
      <c r="B50">
        <v>4.3411999999999997</v>
      </c>
      <c r="C50" t="b">
        <f t="shared" si="1"/>
        <v>1</v>
      </c>
      <c r="D50" t="b">
        <f t="shared" si="2"/>
        <v>1</v>
      </c>
      <c r="E50">
        <f t="shared" si="3"/>
        <v>4979.33</v>
      </c>
    </row>
    <row r="51" spans="1:5" x14ac:dyDescent="0.2">
      <c r="A51" s="5">
        <v>38402</v>
      </c>
      <c r="B51">
        <v>4.3653000000000004</v>
      </c>
      <c r="C51" t="b">
        <f t="shared" si="1"/>
        <v>1</v>
      </c>
      <c r="D51" t="b">
        <f t="shared" si="2"/>
        <v>0</v>
      </c>
      <c r="E51">
        <f t="shared" si="3"/>
        <v>21736.269249000001</v>
      </c>
    </row>
    <row r="52" spans="1:5" x14ac:dyDescent="0.2">
      <c r="A52" s="5">
        <v>38403</v>
      </c>
      <c r="B52">
        <v>4.3693</v>
      </c>
      <c r="C52" t="b">
        <f t="shared" si="1"/>
        <v>1</v>
      </c>
      <c r="D52" t="b">
        <f t="shared" si="2"/>
        <v>1</v>
      </c>
      <c r="E52">
        <f t="shared" si="3"/>
        <v>4974.7700000000004</v>
      </c>
    </row>
    <row r="53" spans="1:5" x14ac:dyDescent="0.2">
      <c r="A53" s="5">
        <v>38404</v>
      </c>
      <c r="B53">
        <v>4.3979999999999997</v>
      </c>
      <c r="C53" t="b">
        <f t="shared" si="1"/>
        <v>1</v>
      </c>
      <c r="D53" t="b">
        <f t="shared" si="2"/>
        <v>0</v>
      </c>
      <c r="E53">
        <f t="shared" si="3"/>
        <v>21879.03846</v>
      </c>
    </row>
    <row r="54" spans="1:5" x14ac:dyDescent="0.2">
      <c r="A54" s="5">
        <v>38405</v>
      </c>
      <c r="B54">
        <v>4.3076999999999996</v>
      </c>
      <c r="C54" t="b">
        <f t="shared" si="1"/>
        <v>0</v>
      </c>
      <c r="D54" t="b">
        <f t="shared" si="2"/>
        <v>1</v>
      </c>
      <c r="E54">
        <f t="shared" si="3"/>
        <v>5079.05</v>
      </c>
    </row>
    <row r="55" spans="1:5" x14ac:dyDescent="0.2">
      <c r="A55" s="5">
        <v>38406</v>
      </c>
      <c r="B55">
        <v>4.3503999999999996</v>
      </c>
      <c r="C55" t="b">
        <f t="shared" si="1"/>
        <v>1</v>
      </c>
      <c r="D55" t="b">
        <f t="shared" si="2"/>
        <v>0</v>
      </c>
      <c r="E55">
        <f t="shared" si="3"/>
        <v>22095.899119999998</v>
      </c>
    </row>
    <row r="56" spans="1:5" x14ac:dyDescent="0.2">
      <c r="A56" s="5">
        <v>38407</v>
      </c>
      <c r="B56">
        <v>4.3137999999999996</v>
      </c>
      <c r="C56" t="b">
        <f t="shared" si="1"/>
        <v>0</v>
      </c>
      <c r="D56" t="b">
        <f t="shared" si="2"/>
        <v>1</v>
      </c>
      <c r="E56">
        <f t="shared" si="3"/>
        <v>5122.1400000000003</v>
      </c>
    </row>
    <row r="57" spans="1:5" x14ac:dyDescent="0.2">
      <c r="A57" s="5">
        <v>38408</v>
      </c>
      <c r="B57">
        <v>4.3282999999999996</v>
      </c>
      <c r="C57" t="b">
        <f t="shared" si="1"/>
        <v>1</v>
      </c>
      <c r="D57" t="b">
        <f t="shared" si="2"/>
        <v>0</v>
      </c>
      <c r="E57">
        <f t="shared" si="3"/>
        <v>22170.158562000001</v>
      </c>
    </row>
    <row r="58" spans="1:5" x14ac:dyDescent="0.2">
      <c r="A58" s="5">
        <v>38409</v>
      </c>
      <c r="B58">
        <v>4.3124000000000002</v>
      </c>
      <c r="C58" t="b">
        <f t="shared" si="1"/>
        <v>0</v>
      </c>
      <c r="D58" t="b">
        <f t="shared" si="2"/>
        <v>1</v>
      </c>
      <c r="E58">
        <f t="shared" si="3"/>
        <v>5141.03</v>
      </c>
    </row>
    <row r="59" spans="1:5" x14ac:dyDescent="0.2">
      <c r="A59" s="5">
        <v>38410</v>
      </c>
      <c r="B59">
        <v>4.3090999999999999</v>
      </c>
      <c r="C59" t="b">
        <f t="shared" si="1"/>
        <v>0</v>
      </c>
      <c r="D59" t="b">
        <f t="shared" si="2"/>
        <v>1</v>
      </c>
      <c r="E59">
        <f t="shared" si="3"/>
        <v>5141.03</v>
      </c>
    </row>
    <row r="60" spans="1:5" x14ac:dyDescent="0.2">
      <c r="A60" s="5">
        <v>38411</v>
      </c>
      <c r="B60">
        <v>4.3346</v>
      </c>
      <c r="C60" t="b">
        <f t="shared" si="1"/>
        <v>1</v>
      </c>
      <c r="D60" t="b">
        <f t="shared" si="2"/>
        <v>0</v>
      </c>
      <c r="E60">
        <f t="shared" si="3"/>
        <v>22284.308637999999</v>
      </c>
    </row>
    <row r="61" spans="1:5" x14ac:dyDescent="0.2">
      <c r="A61" s="5">
        <v>38412</v>
      </c>
      <c r="B61">
        <v>4.3517999999999999</v>
      </c>
      <c r="C61" t="b">
        <f t="shared" si="1"/>
        <v>1</v>
      </c>
      <c r="D61" t="b">
        <f t="shared" si="2"/>
        <v>1</v>
      </c>
      <c r="E61">
        <f t="shared" si="3"/>
        <v>5120.71</v>
      </c>
    </row>
    <row r="62" spans="1:5" x14ac:dyDescent="0.2">
      <c r="A62" s="5">
        <v>38413</v>
      </c>
      <c r="B62">
        <v>4.3285999999999998</v>
      </c>
      <c r="C62" t="b">
        <f t="shared" si="1"/>
        <v>0</v>
      </c>
      <c r="D62" t="b">
        <f t="shared" si="2"/>
        <v>1</v>
      </c>
      <c r="E62">
        <f t="shared" si="3"/>
        <v>5120.71</v>
      </c>
    </row>
    <row r="63" spans="1:5" x14ac:dyDescent="0.2">
      <c r="A63" s="5">
        <v>38414</v>
      </c>
      <c r="B63">
        <v>4.3541999999999996</v>
      </c>
      <c r="C63" t="b">
        <f t="shared" si="1"/>
        <v>1</v>
      </c>
      <c r="D63" t="b">
        <f t="shared" si="2"/>
        <v>0</v>
      </c>
      <c r="E63">
        <f t="shared" si="3"/>
        <v>22296.595481999997</v>
      </c>
    </row>
    <row r="64" spans="1:5" x14ac:dyDescent="0.2">
      <c r="A64" s="5">
        <v>38415</v>
      </c>
      <c r="B64">
        <v>4.3700999999999999</v>
      </c>
      <c r="C64" t="b">
        <f t="shared" si="1"/>
        <v>1</v>
      </c>
      <c r="D64" t="b">
        <f t="shared" si="2"/>
        <v>1</v>
      </c>
      <c r="E64">
        <f t="shared" si="3"/>
        <v>5102.08</v>
      </c>
    </row>
    <row r="65" spans="1:5" x14ac:dyDescent="0.2">
      <c r="A65" s="5">
        <v>38416</v>
      </c>
      <c r="B65">
        <v>4.4051999999999998</v>
      </c>
      <c r="C65" t="b">
        <f t="shared" si="1"/>
        <v>1</v>
      </c>
      <c r="D65" t="b">
        <f t="shared" si="2"/>
        <v>0</v>
      </c>
      <c r="E65">
        <f t="shared" si="3"/>
        <v>22475.682815999997</v>
      </c>
    </row>
    <row r="66" spans="1:5" x14ac:dyDescent="0.2">
      <c r="A66" s="5">
        <v>38417</v>
      </c>
      <c r="B66">
        <v>4.4518000000000004</v>
      </c>
      <c r="C66" t="b">
        <f t="shared" si="1"/>
        <v>1</v>
      </c>
      <c r="D66" t="b">
        <f t="shared" si="2"/>
        <v>1</v>
      </c>
      <c r="E66">
        <f t="shared" si="3"/>
        <v>5048.67</v>
      </c>
    </row>
    <row r="67" spans="1:5" x14ac:dyDescent="0.2">
      <c r="A67" s="5">
        <v>38418</v>
      </c>
      <c r="B67">
        <v>4.4157999999999999</v>
      </c>
      <c r="C67" t="b">
        <f t="shared" si="1"/>
        <v>0</v>
      </c>
      <c r="D67" t="b">
        <f t="shared" si="2"/>
        <v>1</v>
      </c>
      <c r="E67">
        <f t="shared" si="3"/>
        <v>5048.67</v>
      </c>
    </row>
    <row r="68" spans="1:5" x14ac:dyDescent="0.2">
      <c r="A68" s="5">
        <v>38419</v>
      </c>
      <c r="B68">
        <v>4.3632</v>
      </c>
      <c r="C68" t="b">
        <f t="shared" ref="C68:C131" si="4">B67&lt;B68</f>
        <v>0</v>
      </c>
      <c r="D68" t="b">
        <f t="shared" ref="D68:D131" si="5">IF(D67,IF(C68,FALSE,TRUE),TRUE)</f>
        <v>1</v>
      </c>
      <c r="E68">
        <f t="shared" si="3"/>
        <v>5048.67</v>
      </c>
    </row>
    <row r="69" spans="1:5" x14ac:dyDescent="0.2">
      <c r="A69" s="5">
        <v>38420</v>
      </c>
      <c r="B69">
        <v>4.3647999999999998</v>
      </c>
      <c r="C69" t="b">
        <f t="shared" si="4"/>
        <v>1</v>
      </c>
      <c r="D69" t="b">
        <f t="shared" si="5"/>
        <v>0</v>
      </c>
      <c r="E69">
        <f t="shared" si="3"/>
        <v>22036.434816000001</v>
      </c>
    </row>
    <row r="70" spans="1:5" x14ac:dyDescent="0.2">
      <c r="A70" s="5">
        <v>38421</v>
      </c>
      <c r="B70">
        <v>4.3231000000000002</v>
      </c>
      <c r="C70" t="b">
        <f t="shared" si="4"/>
        <v>0</v>
      </c>
      <c r="D70" t="b">
        <f t="shared" si="5"/>
        <v>1</v>
      </c>
      <c r="E70">
        <f t="shared" si="3"/>
        <v>5097.37</v>
      </c>
    </row>
    <row r="71" spans="1:5" x14ac:dyDescent="0.2">
      <c r="A71" s="5">
        <v>38422</v>
      </c>
      <c r="B71">
        <v>4.3428000000000004</v>
      </c>
      <c r="C71" t="b">
        <f t="shared" si="4"/>
        <v>1</v>
      </c>
      <c r="D71" t="b">
        <f t="shared" si="5"/>
        <v>0</v>
      </c>
      <c r="E71">
        <f t="shared" ref="E71:E134" si="6">IF(D70,IF(C71,E70*B71,E70),ROUND(E70/B71,2))</f>
        <v>22136.858436000002</v>
      </c>
    </row>
    <row r="72" spans="1:5" x14ac:dyDescent="0.2">
      <c r="A72" s="5">
        <v>38423</v>
      </c>
      <c r="B72">
        <v>4.2980999999999998</v>
      </c>
      <c r="C72" t="b">
        <f t="shared" si="4"/>
        <v>0</v>
      </c>
      <c r="D72" t="b">
        <f t="shared" si="5"/>
        <v>1</v>
      </c>
      <c r="E72">
        <f t="shared" si="6"/>
        <v>5150.38</v>
      </c>
    </row>
    <row r="73" spans="1:5" x14ac:dyDescent="0.2">
      <c r="A73" s="5">
        <v>38424</v>
      </c>
      <c r="B73">
        <v>4.2580999999999998</v>
      </c>
      <c r="C73" t="b">
        <f t="shared" si="4"/>
        <v>0</v>
      </c>
      <c r="D73" t="b">
        <f t="shared" si="5"/>
        <v>1</v>
      </c>
      <c r="E73">
        <f t="shared" si="6"/>
        <v>5150.38</v>
      </c>
    </row>
    <row r="74" spans="1:5" x14ac:dyDescent="0.2">
      <c r="A74" s="5">
        <v>38425</v>
      </c>
      <c r="B74">
        <v>4.2702999999999998</v>
      </c>
      <c r="C74" t="b">
        <f t="shared" si="4"/>
        <v>1</v>
      </c>
      <c r="D74" t="b">
        <f t="shared" si="5"/>
        <v>0</v>
      </c>
      <c r="E74">
        <f t="shared" si="6"/>
        <v>21993.667713999999</v>
      </c>
    </row>
    <row r="75" spans="1:5" x14ac:dyDescent="0.2">
      <c r="A75" s="5">
        <v>38426</v>
      </c>
      <c r="B75">
        <v>4.2397999999999998</v>
      </c>
      <c r="C75" t="b">
        <f t="shared" si="4"/>
        <v>0</v>
      </c>
      <c r="D75" t="b">
        <f t="shared" si="5"/>
        <v>1</v>
      </c>
      <c r="E75">
        <f t="shared" si="6"/>
        <v>5187.43</v>
      </c>
    </row>
    <row r="76" spans="1:5" x14ac:dyDescent="0.2">
      <c r="A76" s="5">
        <v>38427</v>
      </c>
      <c r="B76">
        <v>4.2453000000000003</v>
      </c>
      <c r="C76" t="b">
        <f t="shared" si="4"/>
        <v>1</v>
      </c>
      <c r="D76" t="b">
        <f t="shared" si="5"/>
        <v>0</v>
      </c>
      <c r="E76">
        <f t="shared" si="6"/>
        <v>22022.196579000003</v>
      </c>
    </row>
    <row r="77" spans="1:5" x14ac:dyDescent="0.2">
      <c r="A77" s="5">
        <v>38428</v>
      </c>
      <c r="B77">
        <v>4.2933000000000003</v>
      </c>
      <c r="C77" t="b">
        <f t="shared" si="4"/>
        <v>1</v>
      </c>
      <c r="D77" t="b">
        <f t="shared" si="5"/>
        <v>1</v>
      </c>
      <c r="E77">
        <f t="shared" si="6"/>
        <v>5129.43</v>
      </c>
    </row>
    <row r="78" spans="1:5" x14ac:dyDescent="0.2">
      <c r="A78" s="5">
        <v>38429</v>
      </c>
      <c r="B78">
        <v>4.2766999999999999</v>
      </c>
      <c r="C78" t="b">
        <f t="shared" si="4"/>
        <v>0</v>
      </c>
      <c r="D78" t="b">
        <f t="shared" si="5"/>
        <v>1</v>
      </c>
      <c r="E78">
        <f t="shared" si="6"/>
        <v>5129.43</v>
      </c>
    </row>
    <row r="79" spans="1:5" x14ac:dyDescent="0.2">
      <c r="A79" s="5">
        <v>38430</v>
      </c>
      <c r="B79">
        <v>4.2630999999999997</v>
      </c>
      <c r="C79" t="b">
        <f t="shared" si="4"/>
        <v>0</v>
      </c>
      <c r="D79" t="b">
        <f t="shared" si="5"/>
        <v>1</v>
      </c>
      <c r="E79">
        <f t="shared" si="6"/>
        <v>5129.43</v>
      </c>
    </row>
    <row r="80" spans="1:5" x14ac:dyDescent="0.2">
      <c r="A80" s="5">
        <v>38431</v>
      </c>
      <c r="B80">
        <v>4.2735000000000003</v>
      </c>
      <c r="C80" t="b">
        <f t="shared" si="4"/>
        <v>1</v>
      </c>
      <c r="D80" t="b">
        <f t="shared" si="5"/>
        <v>0</v>
      </c>
      <c r="E80">
        <f t="shared" si="6"/>
        <v>21920.619105000002</v>
      </c>
    </row>
    <row r="81" spans="1:5" x14ac:dyDescent="0.2">
      <c r="A81" s="5">
        <v>38432</v>
      </c>
      <c r="B81">
        <v>4.2634999999999996</v>
      </c>
      <c r="C81" t="b">
        <f t="shared" si="4"/>
        <v>0</v>
      </c>
      <c r="D81" t="b">
        <f t="shared" si="5"/>
        <v>1</v>
      </c>
      <c r="E81">
        <f t="shared" si="6"/>
        <v>5141.46</v>
      </c>
    </row>
    <row r="82" spans="1:5" x14ac:dyDescent="0.2">
      <c r="A82" s="5">
        <v>38433</v>
      </c>
      <c r="B82">
        <v>4.2930000000000001</v>
      </c>
      <c r="C82" t="b">
        <f t="shared" si="4"/>
        <v>1</v>
      </c>
      <c r="D82" t="b">
        <f t="shared" si="5"/>
        <v>0</v>
      </c>
      <c r="E82">
        <f t="shared" si="6"/>
        <v>22072.287780000002</v>
      </c>
    </row>
    <row r="83" spans="1:5" x14ac:dyDescent="0.2">
      <c r="A83" s="5">
        <v>38434</v>
      </c>
      <c r="B83">
        <v>4.2769000000000004</v>
      </c>
      <c r="C83" t="b">
        <f t="shared" si="4"/>
        <v>0</v>
      </c>
      <c r="D83" t="b">
        <f t="shared" si="5"/>
        <v>1</v>
      </c>
      <c r="E83">
        <f t="shared" si="6"/>
        <v>5160.8100000000004</v>
      </c>
    </row>
    <row r="84" spans="1:5" x14ac:dyDescent="0.2">
      <c r="A84" s="5">
        <v>38435</v>
      </c>
      <c r="B84">
        <v>4.2735000000000003</v>
      </c>
      <c r="C84" t="b">
        <f t="shared" si="4"/>
        <v>0</v>
      </c>
      <c r="D84" t="b">
        <f t="shared" si="5"/>
        <v>1</v>
      </c>
      <c r="E84">
        <f t="shared" si="6"/>
        <v>5160.8100000000004</v>
      </c>
    </row>
    <row r="85" spans="1:5" x14ac:dyDescent="0.2">
      <c r="A85" s="5">
        <v>38436</v>
      </c>
      <c r="B85">
        <v>4.2792000000000003</v>
      </c>
      <c r="C85" t="b">
        <f t="shared" si="4"/>
        <v>1</v>
      </c>
      <c r="D85" t="b">
        <f t="shared" si="5"/>
        <v>0</v>
      </c>
      <c r="E85">
        <f t="shared" si="6"/>
        <v>22084.138152000003</v>
      </c>
    </row>
    <row r="86" spans="1:5" x14ac:dyDescent="0.2">
      <c r="A86" s="5">
        <v>38437</v>
      </c>
      <c r="B86">
        <v>4.2755000000000001</v>
      </c>
      <c r="C86" t="b">
        <f t="shared" si="4"/>
        <v>0</v>
      </c>
      <c r="D86" t="b">
        <f t="shared" si="5"/>
        <v>1</v>
      </c>
      <c r="E86">
        <f t="shared" si="6"/>
        <v>5165.28</v>
      </c>
    </row>
    <row r="87" spans="1:5" x14ac:dyDescent="0.2">
      <c r="A87" s="5">
        <v>38438</v>
      </c>
      <c r="B87">
        <v>4.2625999999999999</v>
      </c>
      <c r="C87" t="b">
        <f t="shared" si="4"/>
        <v>0</v>
      </c>
      <c r="D87" t="b">
        <f t="shared" si="5"/>
        <v>1</v>
      </c>
      <c r="E87">
        <f t="shared" si="6"/>
        <v>5165.28</v>
      </c>
    </row>
    <row r="88" spans="1:5" x14ac:dyDescent="0.2">
      <c r="A88" s="5">
        <v>38439</v>
      </c>
      <c r="B88">
        <v>4.2465000000000002</v>
      </c>
      <c r="C88" t="b">
        <f t="shared" si="4"/>
        <v>0</v>
      </c>
      <c r="D88" t="b">
        <f t="shared" si="5"/>
        <v>1</v>
      </c>
      <c r="E88">
        <f t="shared" si="6"/>
        <v>5165.28</v>
      </c>
    </row>
    <row r="89" spans="1:5" x14ac:dyDescent="0.2">
      <c r="A89" s="5">
        <v>38440</v>
      </c>
      <c r="B89">
        <v>4.2613000000000003</v>
      </c>
      <c r="C89" t="b">
        <f t="shared" si="4"/>
        <v>1</v>
      </c>
      <c r="D89" t="b">
        <f t="shared" si="5"/>
        <v>0</v>
      </c>
      <c r="E89">
        <f t="shared" si="6"/>
        <v>22010.807664</v>
      </c>
    </row>
    <row r="90" spans="1:5" x14ac:dyDescent="0.2">
      <c r="A90" s="5">
        <v>38441</v>
      </c>
      <c r="B90">
        <v>4.3129999999999997</v>
      </c>
      <c r="C90" t="b">
        <f t="shared" si="4"/>
        <v>1</v>
      </c>
      <c r="D90" t="b">
        <f t="shared" si="5"/>
        <v>1</v>
      </c>
      <c r="E90">
        <f t="shared" si="6"/>
        <v>5103.3599999999997</v>
      </c>
    </row>
    <row r="91" spans="1:5" x14ac:dyDescent="0.2">
      <c r="A91" s="5">
        <v>38442</v>
      </c>
      <c r="B91">
        <v>4.2953000000000001</v>
      </c>
      <c r="C91" t="b">
        <f t="shared" si="4"/>
        <v>0</v>
      </c>
      <c r="D91" t="b">
        <f t="shared" si="5"/>
        <v>1</v>
      </c>
      <c r="E91">
        <f t="shared" si="6"/>
        <v>5103.3599999999997</v>
      </c>
    </row>
    <row r="92" spans="1:5" x14ac:dyDescent="0.2">
      <c r="A92" s="5">
        <v>38443</v>
      </c>
      <c r="B92">
        <v>4.3350999999999997</v>
      </c>
      <c r="C92" t="b">
        <f t="shared" si="4"/>
        <v>1</v>
      </c>
      <c r="D92" t="b">
        <f t="shared" si="5"/>
        <v>0</v>
      </c>
      <c r="E92">
        <f t="shared" si="6"/>
        <v>22123.575935999997</v>
      </c>
    </row>
    <row r="93" spans="1:5" x14ac:dyDescent="0.2">
      <c r="A93" s="5">
        <v>38444</v>
      </c>
      <c r="B93">
        <v>4.34</v>
      </c>
      <c r="C93" t="b">
        <f t="shared" si="4"/>
        <v>1</v>
      </c>
      <c r="D93" t="b">
        <f t="shared" si="5"/>
        <v>1</v>
      </c>
      <c r="E93">
        <f t="shared" si="6"/>
        <v>5097.6000000000004</v>
      </c>
    </row>
    <row r="94" spans="1:5" x14ac:dyDescent="0.2">
      <c r="A94" s="5">
        <v>38445</v>
      </c>
      <c r="B94">
        <v>4.327</v>
      </c>
      <c r="C94" t="b">
        <f t="shared" si="4"/>
        <v>0</v>
      </c>
      <c r="D94" t="b">
        <f t="shared" si="5"/>
        <v>1</v>
      </c>
      <c r="E94">
        <f t="shared" si="6"/>
        <v>5097.6000000000004</v>
      </c>
    </row>
    <row r="95" spans="1:5" x14ac:dyDescent="0.2">
      <c r="A95" s="5">
        <v>38446</v>
      </c>
      <c r="B95">
        <v>4.3202999999999996</v>
      </c>
      <c r="C95" t="b">
        <f t="shared" si="4"/>
        <v>0</v>
      </c>
      <c r="D95" t="b">
        <f t="shared" si="5"/>
        <v>1</v>
      </c>
      <c r="E95">
        <f t="shared" si="6"/>
        <v>5097.6000000000004</v>
      </c>
    </row>
    <row r="96" spans="1:5" x14ac:dyDescent="0.2">
      <c r="A96" s="5">
        <v>38447</v>
      </c>
      <c r="B96">
        <v>4.33</v>
      </c>
      <c r="C96" t="b">
        <f t="shared" si="4"/>
        <v>1</v>
      </c>
      <c r="D96" t="b">
        <f t="shared" si="5"/>
        <v>0</v>
      </c>
      <c r="E96">
        <f t="shared" si="6"/>
        <v>22072.608</v>
      </c>
    </row>
    <row r="97" spans="1:5" x14ac:dyDescent="0.2">
      <c r="A97" s="5">
        <v>38448</v>
      </c>
      <c r="B97">
        <v>4.3129</v>
      </c>
      <c r="C97" t="b">
        <f t="shared" si="4"/>
        <v>0</v>
      </c>
      <c r="D97" t="b">
        <f t="shared" si="5"/>
        <v>1</v>
      </c>
      <c r="E97">
        <f t="shared" si="6"/>
        <v>5117.8100000000004</v>
      </c>
    </row>
    <row r="98" spans="1:5" x14ac:dyDescent="0.2">
      <c r="A98" s="5">
        <v>38449</v>
      </c>
      <c r="B98">
        <v>4.3448000000000002</v>
      </c>
      <c r="C98" t="b">
        <f t="shared" si="4"/>
        <v>1</v>
      </c>
      <c r="D98" t="b">
        <f t="shared" si="5"/>
        <v>0</v>
      </c>
      <c r="E98">
        <f t="shared" si="6"/>
        <v>22235.860888000003</v>
      </c>
    </row>
    <row r="99" spans="1:5" x14ac:dyDescent="0.2">
      <c r="A99" s="5">
        <v>38450</v>
      </c>
      <c r="B99">
        <v>4.3226000000000004</v>
      </c>
      <c r="C99" t="b">
        <f t="shared" si="4"/>
        <v>0</v>
      </c>
      <c r="D99" t="b">
        <f t="shared" si="5"/>
        <v>1</v>
      </c>
      <c r="E99">
        <f t="shared" si="6"/>
        <v>5144.09</v>
      </c>
    </row>
    <row r="100" spans="1:5" x14ac:dyDescent="0.2">
      <c r="A100" s="5">
        <v>38451</v>
      </c>
      <c r="B100">
        <v>4.3808999999999996</v>
      </c>
      <c r="C100" t="b">
        <f t="shared" si="4"/>
        <v>1</v>
      </c>
      <c r="D100" t="b">
        <f t="shared" si="5"/>
        <v>0</v>
      </c>
      <c r="E100">
        <f t="shared" si="6"/>
        <v>22535.743880999999</v>
      </c>
    </row>
    <row r="101" spans="1:5" x14ac:dyDescent="0.2">
      <c r="A101" s="5">
        <v>38452</v>
      </c>
      <c r="B101">
        <v>4.3254000000000001</v>
      </c>
      <c r="C101" t="b">
        <f t="shared" si="4"/>
        <v>0</v>
      </c>
      <c r="D101" t="b">
        <f t="shared" si="5"/>
        <v>1</v>
      </c>
      <c r="E101">
        <f t="shared" si="6"/>
        <v>5210.09</v>
      </c>
    </row>
    <row r="102" spans="1:5" x14ac:dyDescent="0.2">
      <c r="A102" s="5">
        <v>38453</v>
      </c>
      <c r="B102">
        <v>4.3507999999999996</v>
      </c>
      <c r="C102" t="b">
        <f t="shared" si="4"/>
        <v>1</v>
      </c>
      <c r="D102" t="b">
        <f t="shared" si="5"/>
        <v>0</v>
      </c>
      <c r="E102">
        <f t="shared" si="6"/>
        <v>22668.059571999998</v>
      </c>
    </row>
    <row r="103" spans="1:5" x14ac:dyDescent="0.2">
      <c r="A103" s="5">
        <v>38454</v>
      </c>
      <c r="B103">
        <v>4.3460000000000001</v>
      </c>
      <c r="C103" t="b">
        <f t="shared" si="4"/>
        <v>0</v>
      </c>
      <c r="D103" t="b">
        <f t="shared" si="5"/>
        <v>1</v>
      </c>
      <c r="E103">
        <f t="shared" si="6"/>
        <v>5215.84</v>
      </c>
    </row>
    <row r="104" spans="1:5" x14ac:dyDescent="0.2">
      <c r="A104" s="5">
        <v>38455</v>
      </c>
      <c r="B104">
        <v>4.3667999999999996</v>
      </c>
      <c r="C104" t="b">
        <f t="shared" si="4"/>
        <v>1</v>
      </c>
      <c r="D104" t="b">
        <f t="shared" si="5"/>
        <v>0</v>
      </c>
      <c r="E104">
        <f t="shared" si="6"/>
        <v>22776.530111999997</v>
      </c>
    </row>
    <row r="105" spans="1:5" x14ac:dyDescent="0.2">
      <c r="A105" s="5">
        <v>38456</v>
      </c>
      <c r="B105">
        <v>4.3573000000000004</v>
      </c>
      <c r="C105" t="b">
        <f t="shared" si="4"/>
        <v>0</v>
      </c>
      <c r="D105" t="b">
        <f t="shared" si="5"/>
        <v>1</v>
      </c>
      <c r="E105">
        <f t="shared" si="6"/>
        <v>5227.21</v>
      </c>
    </row>
    <row r="106" spans="1:5" x14ac:dyDescent="0.2">
      <c r="A106" s="5">
        <v>38457</v>
      </c>
      <c r="B106">
        <v>4.3849</v>
      </c>
      <c r="C106" t="b">
        <f t="shared" si="4"/>
        <v>1</v>
      </c>
      <c r="D106" t="b">
        <f t="shared" si="5"/>
        <v>0</v>
      </c>
      <c r="E106">
        <f t="shared" si="6"/>
        <v>22920.793129000001</v>
      </c>
    </row>
    <row r="107" spans="1:5" x14ac:dyDescent="0.2">
      <c r="A107" s="5">
        <v>38458</v>
      </c>
      <c r="B107">
        <v>4.3914999999999997</v>
      </c>
      <c r="C107" t="b">
        <f t="shared" si="4"/>
        <v>1</v>
      </c>
      <c r="D107" t="b">
        <f t="shared" si="5"/>
        <v>1</v>
      </c>
      <c r="E107">
        <f t="shared" si="6"/>
        <v>5219.3500000000004</v>
      </c>
    </row>
    <row r="108" spans="1:5" x14ac:dyDescent="0.2">
      <c r="A108" s="5">
        <v>38459</v>
      </c>
      <c r="B108">
        <v>4.3840000000000003</v>
      </c>
      <c r="C108" t="b">
        <f t="shared" si="4"/>
        <v>0</v>
      </c>
      <c r="D108" t="b">
        <f t="shared" si="5"/>
        <v>1</v>
      </c>
      <c r="E108">
        <f t="shared" si="6"/>
        <v>5219.3500000000004</v>
      </c>
    </row>
    <row r="109" spans="1:5" x14ac:dyDescent="0.2">
      <c r="A109" s="5">
        <v>38460</v>
      </c>
      <c r="B109">
        <v>4.4137000000000004</v>
      </c>
      <c r="C109" t="b">
        <f t="shared" si="4"/>
        <v>1</v>
      </c>
      <c r="D109" t="b">
        <f t="shared" si="5"/>
        <v>0</v>
      </c>
      <c r="E109">
        <f t="shared" si="6"/>
        <v>23036.645095000003</v>
      </c>
    </row>
    <row r="110" spans="1:5" x14ac:dyDescent="0.2">
      <c r="A110" s="5">
        <v>38461</v>
      </c>
      <c r="B110">
        <v>4.4428000000000001</v>
      </c>
      <c r="C110" t="b">
        <f t="shared" si="4"/>
        <v>1</v>
      </c>
      <c r="D110" t="b">
        <f t="shared" si="5"/>
        <v>1</v>
      </c>
      <c r="E110">
        <f t="shared" si="6"/>
        <v>5185.16</v>
      </c>
    </row>
    <row r="111" spans="1:5" x14ac:dyDescent="0.2">
      <c r="A111" s="5">
        <v>38462</v>
      </c>
      <c r="B111">
        <v>4.4603999999999999</v>
      </c>
      <c r="C111" t="b">
        <f t="shared" si="4"/>
        <v>1</v>
      </c>
      <c r="D111" t="b">
        <f t="shared" si="5"/>
        <v>0</v>
      </c>
      <c r="E111">
        <f t="shared" si="6"/>
        <v>23127.887663999998</v>
      </c>
    </row>
    <row r="112" spans="1:5" x14ac:dyDescent="0.2">
      <c r="A112" s="5">
        <v>38463</v>
      </c>
      <c r="B112">
        <v>4.4368999999999996</v>
      </c>
      <c r="C112" t="b">
        <f t="shared" si="4"/>
        <v>0</v>
      </c>
      <c r="D112" t="b">
        <f t="shared" si="5"/>
        <v>1</v>
      </c>
      <c r="E112">
        <f t="shared" si="6"/>
        <v>5212.62</v>
      </c>
    </row>
    <row r="113" spans="1:5" x14ac:dyDescent="0.2">
      <c r="A113" s="5">
        <v>38464</v>
      </c>
      <c r="B113">
        <v>4.3926999999999996</v>
      </c>
      <c r="C113" t="b">
        <f t="shared" si="4"/>
        <v>0</v>
      </c>
      <c r="D113" t="b">
        <f t="shared" si="5"/>
        <v>1</v>
      </c>
      <c r="E113">
        <f t="shared" si="6"/>
        <v>5212.62</v>
      </c>
    </row>
    <row r="114" spans="1:5" x14ac:dyDescent="0.2">
      <c r="A114" s="5">
        <v>38465</v>
      </c>
      <c r="B114">
        <v>4.4371</v>
      </c>
      <c r="C114" t="b">
        <f t="shared" si="4"/>
        <v>1</v>
      </c>
      <c r="D114" t="b">
        <f t="shared" si="5"/>
        <v>0</v>
      </c>
      <c r="E114">
        <f t="shared" si="6"/>
        <v>23128.916202</v>
      </c>
    </row>
    <row r="115" spans="1:5" x14ac:dyDescent="0.2">
      <c r="A115" s="5">
        <v>38466</v>
      </c>
      <c r="B115">
        <v>4.4390000000000001</v>
      </c>
      <c r="C115" t="b">
        <f t="shared" si="4"/>
        <v>1</v>
      </c>
      <c r="D115" t="b">
        <f t="shared" si="5"/>
        <v>1</v>
      </c>
      <c r="E115">
        <f t="shared" si="6"/>
        <v>5210.3900000000003</v>
      </c>
    </row>
    <row r="116" spans="1:5" x14ac:dyDescent="0.2">
      <c r="A116" s="5">
        <v>38467</v>
      </c>
      <c r="B116">
        <v>4.4527000000000001</v>
      </c>
      <c r="C116" t="b">
        <f t="shared" si="4"/>
        <v>1</v>
      </c>
      <c r="D116" t="b">
        <f t="shared" si="5"/>
        <v>0</v>
      </c>
      <c r="E116">
        <f t="shared" si="6"/>
        <v>23200.303553000002</v>
      </c>
    </row>
    <row r="117" spans="1:5" x14ac:dyDescent="0.2">
      <c r="A117" s="5">
        <v>38468</v>
      </c>
      <c r="B117">
        <v>4.4417999999999997</v>
      </c>
      <c r="C117" t="b">
        <f t="shared" si="4"/>
        <v>0</v>
      </c>
      <c r="D117" t="b">
        <f t="shared" si="5"/>
        <v>1</v>
      </c>
      <c r="E117">
        <f t="shared" si="6"/>
        <v>5223.18</v>
      </c>
    </row>
    <row r="118" spans="1:5" x14ac:dyDescent="0.2">
      <c r="A118" s="5">
        <v>38469</v>
      </c>
      <c r="B118">
        <v>4.4257</v>
      </c>
      <c r="C118" t="b">
        <f t="shared" si="4"/>
        <v>0</v>
      </c>
      <c r="D118" t="b">
        <f t="shared" si="5"/>
        <v>1</v>
      </c>
      <c r="E118">
        <f t="shared" si="6"/>
        <v>5223.18</v>
      </c>
    </row>
    <row r="119" spans="1:5" x14ac:dyDescent="0.2">
      <c r="A119" s="5">
        <v>38470</v>
      </c>
      <c r="B119">
        <v>4.4097999999999997</v>
      </c>
      <c r="C119" t="b">
        <f t="shared" si="4"/>
        <v>0</v>
      </c>
      <c r="D119" t="b">
        <f t="shared" si="5"/>
        <v>1</v>
      </c>
      <c r="E119">
        <f t="shared" si="6"/>
        <v>5223.18</v>
      </c>
    </row>
    <row r="120" spans="1:5" x14ac:dyDescent="0.2">
      <c r="A120" s="5">
        <v>38471</v>
      </c>
      <c r="B120">
        <v>4.3789999999999996</v>
      </c>
      <c r="C120" t="b">
        <f t="shared" si="4"/>
        <v>0</v>
      </c>
      <c r="D120" t="b">
        <f t="shared" si="5"/>
        <v>1</v>
      </c>
      <c r="E120">
        <f t="shared" si="6"/>
        <v>5223.18</v>
      </c>
    </row>
    <row r="121" spans="1:5" x14ac:dyDescent="0.2">
      <c r="A121" s="5">
        <v>38472</v>
      </c>
      <c r="B121">
        <v>4.4333999999999998</v>
      </c>
      <c r="C121" t="b">
        <f t="shared" si="4"/>
        <v>1</v>
      </c>
      <c r="D121" t="b">
        <f t="shared" si="5"/>
        <v>0</v>
      </c>
      <c r="E121">
        <f t="shared" si="6"/>
        <v>23156.446211999999</v>
      </c>
    </row>
    <row r="122" spans="1:5" x14ac:dyDescent="0.2">
      <c r="A122" s="5">
        <v>38473</v>
      </c>
      <c r="B122">
        <v>4.4166999999999996</v>
      </c>
      <c r="C122" t="b">
        <f t="shared" si="4"/>
        <v>0</v>
      </c>
      <c r="D122" t="b">
        <f t="shared" si="5"/>
        <v>1</v>
      </c>
      <c r="E122">
        <f t="shared" si="6"/>
        <v>5242.93</v>
      </c>
    </row>
    <row r="123" spans="1:5" x14ac:dyDescent="0.2">
      <c r="A123" s="5">
        <v>38474</v>
      </c>
      <c r="B123">
        <v>4.4728000000000003</v>
      </c>
      <c r="C123" t="b">
        <f t="shared" si="4"/>
        <v>1</v>
      </c>
      <c r="D123" t="b">
        <f t="shared" si="5"/>
        <v>0</v>
      </c>
      <c r="E123">
        <f t="shared" si="6"/>
        <v>23450.577304000002</v>
      </c>
    </row>
    <row r="124" spans="1:5" x14ac:dyDescent="0.2">
      <c r="A124" s="5">
        <v>38475</v>
      </c>
      <c r="B124">
        <v>4.4667000000000003</v>
      </c>
      <c r="C124" t="b">
        <f t="shared" si="4"/>
        <v>0</v>
      </c>
      <c r="D124" t="b">
        <f t="shared" si="5"/>
        <v>1</v>
      </c>
      <c r="E124">
        <f t="shared" si="6"/>
        <v>5250.09</v>
      </c>
    </row>
    <row r="125" spans="1:5" x14ac:dyDescent="0.2">
      <c r="A125" s="5">
        <v>38476</v>
      </c>
      <c r="B125">
        <v>4.4579000000000004</v>
      </c>
      <c r="C125" t="b">
        <f t="shared" si="4"/>
        <v>0</v>
      </c>
      <c r="D125" t="b">
        <f t="shared" si="5"/>
        <v>1</v>
      </c>
      <c r="E125">
        <f t="shared" si="6"/>
        <v>5250.09</v>
      </c>
    </row>
    <row r="126" spans="1:5" x14ac:dyDescent="0.2">
      <c r="A126" s="5">
        <v>38477</v>
      </c>
      <c r="B126">
        <v>4.4896000000000003</v>
      </c>
      <c r="C126" t="b">
        <f t="shared" si="4"/>
        <v>1</v>
      </c>
      <c r="D126" t="b">
        <f t="shared" si="5"/>
        <v>0</v>
      </c>
      <c r="E126">
        <f t="shared" si="6"/>
        <v>23570.804064000004</v>
      </c>
    </row>
    <row r="127" spans="1:5" x14ac:dyDescent="0.2">
      <c r="A127" s="5">
        <v>38478</v>
      </c>
      <c r="B127">
        <v>4.4569999999999999</v>
      </c>
      <c r="C127" t="b">
        <f t="shared" si="4"/>
        <v>0</v>
      </c>
      <c r="D127" t="b">
        <f t="shared" si="5"/>
        <v>1</v>
      </c>
      <c r="E127">
        <f t="shared" si="6"/>
        <v>5288.49</v>
      </c>
    </row>
    <row r="128" spans="1:5" x14ac:dyDescent="0.2">
      <c r="A128" s="5">
        <v>38479</v>
      </c>
      <c r="B128">
        <v>4.4429999999999996</v>
      </c>
      <c r="C128" t="b">
        <f t="shared" si="4"/>
        <v>0</v>
      </c>
      <c r="D128" t="b">
        <f t="shared" si="5"/>
        <v>1</v>
      </c>
      <c r="E128">
        <f t="shared" si="6"/>
        <v>5288.49</v>
      </c>
    </row>
    <row r="129" spans="1:5" x14ac:dyDescent="0.2">
      <c r="A129" s="5">
        <v>38480</v>
      </c>
      <c r="B129">
        <v>4.4267000000000003</v>
      </c>
      <c r="C129" t="b">
        <f t="shared" si="4"/>
        <v>0</v>
      </c>
      <c r="D129" t="b">
        <f t="shared" si="5"/>
        <v>1</v>
      </c>
      <c r="E129">
        <f t="shared" si="6"/>
        <v>5288.49</v>
      </c>
    </row>
    <row r="130" spans="1:5" x14ac:dyDescent="0.2">
      <c r="A130" s="5">
        <v>38481</v>
      </c>
      <c r="B130">
        <v>4.4370000000000003</v>
      </c>
      <c r="C130" t="b">
        <f t="shared" si="4"/>
        <v>1</v>
      </c>
      <c r="D130" t="b">
        <f t="shared" si="5"/>
        <v>0</v>
      </c>
      <c r="E130">
        <f t="shared" si="6"/>
        <v>23465.030129999999</v>
      </c>
    </row>
    <row r="131" spans="1:5" x14ac:dyDescent="0.2">
      <c r="A131" s="5">
        <v>38482</v>
      </c>
      <c r="B131">
        <v>4.4649000000000001</v>
      </c>
      <c r="C131" t="b">
        <f t="shared" si="4"/>
        <v>1</v>
      </c>
      <c r="D131" t="b">
        <f t="shared" si="5"/>
        <v>1</v>
      </c>
      <c r="E131">
        <f t="shared" si="6"/>
        <v>5255.44</v>
      </c>
    </row>
    <row r="132" spans="1:5" x14ac:dyDescent="0.2">
      <c r="A132" s="5">
        <v>38483</v>
      </c>
      <c r="B132">
        <v>4.4410999999999996</v>
      </c>
      <c r="C132" t="b">
        <f t="shared" ref="C132:C195" si="7">B131&lt;B132</f>
        <v>0</v>
      </c>
      <c r="D132" t="b">
        <f t="shared" ref="D132:D195" si="8">IF(D131,IF(C132,FALSE,TRUE),TRUE)</f>
        <v>1</v>
      </c>
      <c r="E132">
        <f t="shared" si="6"/>
        <v>5255.44</v>
      </c>
    </row>
    <row r="133" spans="1:5" x14ac:dyDescent="0.2">
      <c r="A133" s="5">
        <v>38484</v>
      </c>
      <c r="B133">
        <v>4.4367999999999999</v>
      </c>
      <c r="C133" t="b">
        <f t="shared" si="7"/>
        <v>0</v>
      </c>
      <c r="D133" t="b">
        <f t="shared" si="8"/>
        <v>1</v>
      </c>
      <c r="E133">
        <f t="shared" si="6"/>
        <v>5255.44</v>
      </c>
    </row>
    <row r="134" spans="1:5" x14ac:dyDescent="0.2">
      <c r="A134" s="5">
        <v>38485</v>
      </c>
      <c r="B134">
        <v>4.4560000000000004</v>
      </c>
      <c r="C134" t="b">
        <f t="shared" si="7"/>
        <v>1</v>
      </c>
      <c r="D134" t="b">
        <f t="shared" si="8"/>
        <v>0</v>
      </c>
      <c r="E134">
        <f t="shared" si="6"/>
        <v>23418.24064</v>
      </c>
    </row>
    <row r="135" spans="1:5" x14ac:dyDescent="0.2">
      <c r="A135" s="5">
        <v>38486</v>
      </c>
      <c r="B135">
        <v>4.4528999999999996</v>
      </c>
      <c r="C135" t="b">
        <f t="shared" si="7"/>
        <v>0</v>
      </c>
      <c r="D135" t="b">
        <f t="shared" si="8"/>
        <v>1</v>
      </c>
      <c r="E135">
        <f t="shared" ref="E135:E198" si="9">IF(D134,IF(C135,E134*B135,E134),ROUND(E134/B135,2))</f>
        <v>5259.1</v>
      </c>
    </row>
    <row r="136" spans="1:5" x14ac:dyDescent="0.2">
      <c r="A136" s="5">
        <v>38487</v>
      </c>
      <c r="B136">
        <v>4.4497999999999998</v>
      </c>
      <c r="C136" t="b">
        <f t="shared" si="7"/>
        <v>0</v>
      </c>
      <c r="D136" t="b">
        <f t="shared" si="8"/>
        <v>1</v>
      </c>
      <c r="E136">
        <f t="shared" si="9"/>
        <v>5259.1</v>
      </c>
    </row>
    <row r="137" spans="1:5" x14ac:dyDescent="0.2">
      <c r="A137" s="5">
        <v>38488</v>
      </c>
      <c r="B137">
        <v>4.4401999999999999</v>
      </c>
      <c r="C137" t="b">
        <f t="shared" si="7"/>
        <v>0</v>
      </c>
      <c r="D137" t="b">
        <f t="shared" si="8"/>
        <v>1</v>
      </c>
      <c r="E137">
        <f t="shared" si="9"/>
        <v>5259.1</v>
      </c>
    </row>
    <row r="138" spans="1:5" x14ac:dyDescent="0.2">
      <c r="A138" s="5">
        <v>38489</v>
      </c>
      <c r="B138">
        <v>4.4443000000000001</v>
      </c>
      <c r="C138" t="b">
        <f t="shared" si="7"/>
        <v>1</v>
      </c>
      <c r="D138" t="b">
        <f t="shared" si="8"/>
        <v>0</v>
      </c>
      <c r="E138">
        <f t="shared" si="9"/>
        <v>23373.018130000004</v>
      </c>
    </row>
    <row r="139" spans="1:5" x14ac:dyDescent="0.2">
      <c r="A139" s="5">
        <v>38490</v>
      </c>
      <c r="B139">
        <v>4.4397000000000002</v>
      </c>
      <c r="C139" t="b">
        <f t="shared" si="7"/>
        <v>0</v>
      </c>
      <c r="D139" t="b">
        <f t="shared" si="8"/>
        <v>1</v>
      </c>
      <c r="E139">
        <f t="shared" si="9"/>
        <v>5264.55</v>
      </c>
    </row>
    <row r="140" spans="1:5" x14ac:dyDescent="0.2">
      <c r="A140" s="5">
        <v>38491</v>
      </c>
      <c r="B140">
        <v>4.4885000000000002</v>
      </c>
      <c r="C140" t="b">
        <f t="shared" si="7"/>
        <v>1</v>
      </c>
      <c r="D140" t="b">
        <f t="shared" si="8"/>
        <v>0</v>
      </c>
      <c r="E140">
        <f t="shared" si="9"/>
        <v>23629.932675</v>
      </c>
    </row>
    <row r="141" spans="1:5" x14ac:dyDescent="0.2">
      <c r="A141" s="5">
        <v>38492</v>
      </c>
      <c r="B141">
        <v>4.4744999999999999</v>
      </c>
      <c r="C141" t="b">
        <f t="shared" si="7"/>
        <v>0</v>
      </c>
      <c r="D141" t="b">
        <f t="shared" si="8"/>
        <v>1</v>
      </c>
      <c r="E141">
        <f t="shared" si="9"/>
        <v>5281.02</v>
      </c>
    </row>
    <row r="142" spans="1:5" x14ac:dyDescent="0.2">
      <c r="A142" s="5">
        <v>38493</v>
      </c>
      <c r="B142">
        <v>4.4733000000000001</v>
      </c>
      <c r="C142" t="b">
        <f t="shared" si="7"/>
        <v>0</v>
      </c>
      <c r="D142" t="b">
        <f t="shared" si="8"/>
        <v>1</v>
      </c>
      <c r="E142">
        <f t="shared" si="9"/>
        <v>5281.02</v>
      </c>
    </row>
    <row r="143" spans="1:5" x14ac:dyDescent="0.2">
      <c r="A143" s="5">
        <v>38494</v>
      </c>
      <c r="B143">
        <v>4.4518000000000004</v>
      </c>
      <c r="C143" t="b">
        <f t="shared" si="7"/>
        <v>0</v>
      </c>
      <c r="D143" t="b">
        <f t="shared" si="8"/>
        <v>1</v>
      </c>
      <c r="E143">
        <f t="shared" si="9"/>
        <v>5281.02</v>
      </c>
    </row>
    <row r="144" spans="1:5" x14ac:dyDescent="0.2">
      <c r="A144" s="5">
        <v>38495</v>
      </c>
      <c r="B144">
        <v>4.4591000000000003</v>
      </c>
      <c r="C144" t="b">
        <f t="shared" si="7"/>
        <v>1</v>
      </c>
      <c r="D144" t="b">
        <f t="shared" si="8"/>
        <v>0</v>
      </c>
      <c r="E144">
        <f t="shared" si="9"/>
        <v>23548.596282000002</v>
      </c>
    </row>
    <row r="145" spans="1:5" x14ac:dyDescent="0.2">
      <c r="A145" s="5">
        <v>38496</v>
      </c>
      <c r="B145">
        <v>4.4191000000000003</v>
      </c>
      <c r="C145" t="b">
        <f t="shared" si="7"/>
        <v>0</v>
      </c>
      <c r="D145" t="b">
        <f t="shared" si="8"/>
        <v>1</v>
      </c>
      <c r="E145">
        <f t="shared" si="9"/>
        <v>5328.82</v>
      </c>
    </row>
    <row r="146" spans="1:5" x14ac:dyDescent="0.2">
      <c r="A146" s="5">
        <v>38497</v>
      </c>
      <c r="B146">
        <v>4.4175000000000004</v>
      </c>
      <c r="C146" t="b">
        <f t="shared" si="7"/>
        <v>0</v>
      </c>
      <c r="D146" t="b">
        <f t="shared" si="8"/>
        <v>1</v>
      </c>
      <c r="E146">
        <f t="shared" si="9"/>
        <v>5328.82</v>
      </c>
    </row>
    <row r="147" spans="1:5" x14ac:dyDescent="0.2">
      <c r="A147" s="5">
        <v>38498</v>
      </c>
      <c r="B147">
        <v>4.4257999999999997</v>
      </c>
      <c r="C147" t="b">
        <f t="shared" si="7"/>
        <v>1</v>
      </c>
      <c r="D147" t="b">
        <f t="shared" si="8"/>
        <v>0</v>
      </c>
      <c r="E147">
        <f t="shared" si="9"/>
        <v>23584.291555999996</v>
      </c>
    </row>
    <row r="148" spans="1:5" x14ac:dyDescent="0.2">
      <c r="A148" s="5">
        <v>38499</v>
      </c>
      <c r="B148">
        <v>4.4099000000000004</v>
      </c>
      <c r="C148" t="b">
        <f t="shared" si="7"/>
        <v>0</v>
      </c>
      <c r="D148" t="b">
        <f t="shared" si="8"/>
        <v>1</v>
      </c>
      <c r="E148">
        <f t="shared" si="9"/>
        <v>5348.03</v>
      </c>
    </row>
    <row r="149" spans="1:5" x14ac:dyDescent="0.2">
      <c r="A149" s="5">
        <v>38500</v>
      </c>
      <c r="B149">
        <v>4.3765000000000001</v>
      </c>
      <c r="C149" t="b">
        <f t="shared" si="7"/>
        <v>0</v>
      </c>
      <c r="D149" t="b">
        <f t="shared" si="8"/>
        <v>1</v>
      </c>
      <c r="E149">
        <f t="shared" si="9"/>
        <v>5348.03</v>
      </c>
    </row>
    <row r="150" spans="1:5" x14ac:dyDescent="0.2">
      <c r="A150" s="5">
        <v>38501</v>
      </c>
      <c r="B150">
        <v>4.3879000000000001</v>
      </c>
      <c r="C150" t="b">
        <f t="shared" si="7"/>
        <v>1</v>
      </c>
      <c r="D150" t="b">
        <f t="shared" si="8"/>
        <v>0</v>
      </c>
      <c r="E150">
        <f t="shared" si="9"/>
        <v>23466.620836999999</v>
      </c>
    </row>
    <row r="151" spans="1:5" x14ac:dyDescent="0.2">
      <c r="A151" s="5">
        <v>38502</v>
      </c>
      <c r="B151">
        <v>4.3521000000000001</v>
      </c>
      <c r="C151" t="b">
        <f t="shared" si="7"/>
        <v>0</v>
      </c>
      <c r="D151" t="b">
        <f t="shared" si="8"/>
        <v>1</v>
      </c>
      <c r="E151">
        <f t="shared" si="9"/>
        <v>5392.02</v>
      </c>
    </row>
    <row r="152" spans="1:5" x14ac:dyDescent="0.2">
      <c r="A152" s="5">
        <v>38503</v>
      </c>
      <c r="B152">
        <v>4.3785999999999996</v>
      </c>
      <c r="C152" t="b">
        <f t="shared" si="7"/>
        <v>1</v>
      </c>
      <c r="D152" t="b">
        <f t="shared" si="8"/>
        <v>0</v>
      </c>
      <c r="E152">
        <f t="shared" si="9"/>
        <v>23609.498771999999</v>
      </c>
    </row>
    <row r="153" spans="1:5" x14ac:dyDescent="0.2">
      <c r="A153" s="5">
        <v>38504</v>
      </c>
      <c r="B153">
        <v>4.3628</v>
      </c>
      <c r="C153" t="b">
        <f t="shared" si="7"/>
        <v>0</v>
      </c>
      <c r="D153" t="b">
        <f t="shared" si="8"/>
        <v>1</v>
      </c>
      <c r="E153">
        <f t="shared" si="9"/>
        <v>5411.55</v>
      </c>
    </row>
    <row r="154" spans="1:5" x14ac:dyDescent="0.2">
      <c r="A154" s="5">
        <v>38505</v>
      </c>
      <c r="B154">
        <v>4.3810000000000002</v>
      </c>
      <c r="C154" t="b">
        <f t="shared" si="7"/>
        <v>1</v>
      </c>
      <c r="D154" t="b">
        <f t="shared" si="8"/>
        <v>0</v>
      </c>
      <c r="E154">
        <f t="shared" si="9"/>
        <v>23708.000550000001</v>
      </c>
    </row>
    <row r="155" spans="1:5" x14ac:dyDescent="0.2">
      <c r="A155" s="5">
        <v>38506</v>
      </c>
      <c r="B155">
        <v>4.3710000000000004</v>
      </c>
      <c r="C155" t="b">
        <f t="shared" si="7"/>
        <v>0</v>
      </c>
      <c r="D155" t="b">
        <f t="shared" si="8"/>
        <v>1</v>
      </c>
      <c r="E155">
        <f t="shared" si="9"/>
        <v>5423.93</v>
      </c>
    </row>
    <row r="156" spans="1:5" x14ac:dyDescent="0.2">
      <c r="A156" s="5">
        <v>38507</v>
      </c>
      <c r="B156">
        <v>4.3630000000000004</v>
      </c>
      <c r="C156" t="b">
        <f t="shared" si="7"/>
        <v>0</v>
      </c>
      <c r="D156" t="b">
        <f t="shared" si="8"/>
        <v>1</v>
      </c>
      <c r="E156">
        <f t="shared" si="9"/>
        <v>5423.93</v>
      </c>
    </row>
    <row r="157" spans="1:5" x14ac:dyDescent="0.2">
      <c r="A157" s="5">
        <v>38508</v>
      </c>
      <c r="B157">
        <v>4.3639999999999999</v>
      </c>
      <c r="C157" t="b">
        <f t="shared" si="7"/>
        <v>1</v>
      </c>
      <c r="D157" t="b">
        <f t="shared" si="8"/>
        <v>0</v>
      </c>
      <c r="E157">
        <f t="shared" si="9"/>
        <v>23670.03052</v>
      </c>
    </row>
    <row r="158" spans="1:5" x14ac:dyDescent="0.2">
      <c r="A158" s="5">
        <v>38509</v>
      </c>
      <c r="B158">
        <v>4.3697999999999997</v>
      </c>
      <c r="C158" t="b">
        <f t="shared" si="7"/>
        <v>1</v>
      </c>
      <c r="D158" t="b">
        <f t="shared" si="8"/>
        <v>1</v>
      </c>
      <c r="E158">
        <f t="shared" si="9"/>
        <v>5416.73</v>
      </c>
    </row>
    <row r="159" spans="1:5" x14ac:dyDescent="0.2">
      <c r="A159" s="5">
        <v>38510</v>
      </c>
      <c r="B159">
        <v>4.3720999999999997</v>
      </c>
      <c r="C159" t="b">
        <f t="shared" si="7"/>
        <v>1</v>
      </c>
      <c r="D159" t="b">
        <f t="shared" si="8"/>
        <v>0</v>
      </c>
      <c r="E159">
        <f t="shared" si="9"/>
        <v>23682.485232999996</v>
      </c>
    </row>
    <row r="160" spans="1:5" x14ac:dyDescent="0.2">
      <c r="A160" s="5">
        <v>38511</v>
      </c>
      <c r="B160">
        <v>4.3852000000000002</v>
      </c>
      <c r="C160" t="b">
        <f t="shared" si="7"/>
        <v>1</v>
      </c>
      <c r="D160" t="b">
        <f t="shared" si="8"/>
        <v>1</v>
      </c>
      <c r="E160">
        <f t="shared" si="9"/>
        <v>5400.55</v>
      </c>
    </row>
    <row r="161" spans="1:5" x14ac:dyDescent="0.2">
      <c r="A161" s="5">
        <v>38512</v>
      </c>
      <c r="B161">
        <v>4.3700999999999999</v>
      </c>
      <c r="C161" t="b">
        <f t="shared" si="7"/>
        <v>0</v>
      </c>
      <c r="D161" t="b">
        <f t="shared" si="8"/>
        <v>1</v>
      </c>
      <c r="E161">
        <f t="shared" si="9"/>
        <v>5400.55</v>
      </c>
    </row>
    <row r="162" spans="1:5" x14ac:dyDescent="0.2">
      <c r="A162" s="5">
        <v>38513</v>
      </c>
      <c r="B162">
        <v>4.3676000000000004</v>
      </c>
      <c r="C162" t="b">
        <f t="shared" si="7"/>
        <v>0</v>
      </c>
      <c r="D162" t="b">
        <f t="shared" si="8"/>
        <v>1</v>
      </c>
      <c r="E162">
        <f t="shared" si="9"/>
        <v>5400.55</v>
      </c>
    </row>
    <row r="163" spans="1:5" x14ac:dyDescent="0.2">
      <c r="A163" s="5">
        <v>38514</v>
      </c>
      <c r="B163">
        <v>4.3716999999999997</v>
      </c>
      <c r="C163" t="b">
        <f t="shared" si="7"/>
        <v>1</v>
      </c>
      <c r="D163" t="b">
        <f t="shared" si="8"/>
        <v>0</v>
      </c>
      <c r="E163">
        <f t="shared" si="9"/>
        <v>23609.584435000001</v>
      </c>
    </row>
    <row r="164" spans="1:5" x14ac:dyDescent="0.2">
      <c r="A164" s="5">
        <v>38515</v>
      </c>
      <c r="B164">
        <v>4.3529999999999998</v>
      </c>
      <c r="C164" t="b">
        <f t="shared" si="7"/>
        <v>0</v>
      </c>
      <c r="D164" t="b">
        <f t="shared" si="8"/>
        <v>1</v>
      </c>
      <c r="E164">
        <f t="shared" si="9"/>
        <v>5423.75</v>
      </c>
    </row>
    <row r="165" spans="1:5" x14ac:dyDescent="0.2">
      <c r="A165" s="5">
        <v>38516</v>
      </c>
      <c r="B165">
        <v>4.3684000000000003</v>
      </c>
      <c r="C165" t="b">
        <f t="shared" si="7"/>
        <v>1</v>
      </c>
      <c r="D165" t="b">
        <f t="shared" si="8"/>
        <v>0</v>
      </c>
      <c r="E165">
        <f t="shared" si="9"/>
        <v>23693.109500000002</v>
      </c>
    </row>
    <row r="166" spans="1:5" x14ac:dyDescent="0.2">
      <c r="A166" s="5">
        <v>38517</v>
      </c>
      <c r="B166">
        <v>4.3643000000000001</v>
      </c>
      <c r="C166" t="b">
        <f t="shared" si="7"/>
        <v>0</v>
      </c>
      <c r="D166" t="b">
        <f t="shared" si="8"/>
        <v>1</v>
      </c>
      <c r="E166">
        <f t="shared" si="9"/>
        <v>5428.85</v>
      </c>
    </row>
    <row r="167" spans="1:5" x14ac:dyDescent="0.2">
      <c r="A167" s="5">
        <v>38518</v>
      </c>
      <c r="B167">
        <v>4.3644999999999996</v>
      </c>
      <c r="C167" t="b">
        <f t="shared" si="7"/>
        <v>1</v>
      </c>
      <c r="D167" t="b">
        <f t="shared" si="8"/>
        <v>0</v>
      </c>
      <c r="E167">
        <f t="shared" si="9"/>
        <v>23694.215824999999</v>
      </c>
    </row>
    <row r="168" spans="1:5" x14ac:dyDescent="0.2">
      <c r="A168" s="5">
        <v>38519</v>
      </c>
      <c r="B168">
        <v>4.3613999999999997</v>
      </c>
      <c r="C168" t="b">
        <f t="shared" si="7"/>
        <v>0</v>
      </c>
      <c r="D168" t="b">
        <f t="shared" si="8"/>
        <v>1</v>
      </c>
      <c r="E168">
        <f t="shared" si="9"/>
        <v>5432.71</v>
      </c>
    </row>
    <row r="169" spans="1:5" x14ac:dyDescent="0.2">
      <c r="A169" s="5">
        <v>38520</v>
      </c>
      <c r="B169">
        <v>4.351</v>
      </c>
      <c r="C169" t="b">
        <f t="shared" si="7"/>
        <v>0</v>
      </c>
      <c r="D169" t="b">
        <f t="shared" si="8"/>
        <v>1</v>
      </c>
      <c r="E169">
        <f t="shared" si="9"/>
        <v>5432.71</v>
      </c>
    </row>
    <row r="170" spans="1:5" x14ac:dyDescent="0.2">
      <c r="A170" s="5">
        <v>38521</v>
      </c>
      <c r="B170">
        <v>4.3587999999999996</v>
      </c>
      <c r="C170" t="b">
        <f t="shared" si="7"/>
        <v>1</v>
      </c>
      <c r="D170" t="b">
        <f t="shared" si="8"/>
        <v>0</v>
      </c>
      <c r="E170">
        <f t="shared" si="9"/>
        <v>23680.096347999999</v>
      </c>
    </row>
    <row r="171" spans="1:5" x14ac:dyDescent="0.2">
      <c r="A171" s="5">
        <v>38522</v>
      </c>
      <c r="B171">
        <v>4.3602999999999996</v>
      </c>
      <c r="C171" t="b">
        <f t="shared" si="7"/>
        <v>1</v>
      </c>
      <c r="D171" t="b">
        <f t="shared" si="8"/>
        <v>1</v>
      </c>
      <c r="E171">
        <f t="shared" si="9"/>
        <v>5430.84</v>
      </c>
    </row>
    <row r="172" spans="1:5" x14ac:dyDescent="0.2">
      <c r="A172" s="5">
        <v>38523</v>
      </c>
      <c r="B172">
        <v>4.3507999999999996</v>
      </c>
      <c r="C172" t="b">
        <f t="shared" si="7"/>
        <v>0</v>
      </c>
      <c r="D172" t="b">
        <f t="shared" si="8"/>
        <v>1</v>
      </c>
      <c r="E172">
        <f t="shared" si="9"/>
        <v>5430.84</v>
      </c>
    </row>
    <row r="173" spans="1:5" x14ac:dyDescent="0.2">
      <c r="A173" s="5">
        <v>38524</v>
      </c>
      <c r="B173">
        <v>4.3616999999999999</v>
      </c>
      <c r="C173" t="b">
        <f t="shared" si="7"/>
        <v>1</v>
      </c>
      <c r="D173" t="b">
        <f t="shared" si="8"/>
        <v>0</v>
      </c>
      <c r="E173">
        <f t="shared" si="9"/>
        <v>23687.694828</v>
      </c>
    </row>
    <row r="174" spans="1:5" x14ac:dyDescent="0.2">
      <c r="A174" s="5">
        <v>38525</v>
      </c>
      <c r="B174">
        <v>4.3623000000000003</v>
      </c>
      <c r="C174" t="b">
        <f t="shared" si="7"/>
        <v>1</v>
      </c>
      <c r="D174" t="b">
        <f t="shared" si="8"/>
        <v>1</v>
      </c>
      <c r="E174">
        <f t="shared" si="9"/>
        <v>5430.09</v>
      </c>
    </row>
    <row r="175" spans="1:5" x14ac:dyDescent="0.2">
      <c r="A175" s="5">
        <v>38526</v>
      </c>
      <c r="B175">
        <v>4.4089999999999998</v>
      </c>
      <c r="C175" t="b">
        <f t="shared" si="7"/>
        <v>1</v>
      </c>
      <c r="D175" t="b">
        <f t="shared" si="8"/>
        <v>0</v>
      </c>
      <c r="E175">
        <f t="shared" si="9"/>
        <v>23941.266810000001</v>
      </c>
    </row>
    <row r="176" spans="1:5" x14ac:dyDescent="0.2">
      <c r="A176" s="5">
        <v>38527</v>
      </c>
      <c r="B176">
        <v>4.4314999999999998</v>
      </c>
      <c r="C176" t="b">
        <f t="shared" si="7"/>
        <v>1</v>
      </c>
      <c r="D176" t="b">
        <f t="shared" si="8"/>
        <v>1</v>
      </c>
      <c r="E176">
        <f t="shared" si="9"/>
        <v>5402.52</v>
      </c>
    </row>
    <row r="177" spans="1:5" x14ac:dyDescent="0.2">
      <c r="A177" s="5">
        <v>38528</v>
      </c>
      <c r="B177">
        <v>4.4278000000000004</v>
      </c>
      <c r="C177" t="b">
        <f t="shared" si="7"/>
        <v>0</v>
      </c>
      <c r="D177" t="b">
        <f t="shared" si="8"/>
        <v>1</v>
      </c>
      <c r="E177">
        <f t="shared" si="9"/>
        <v>5402.52</v>
      </c>
    </row>
    <row r="178" spans="1:5" x14ac:dyDescent="0.2">
      <c r="A178" s="5">
        <v>38529</v>
      </c>
      <c r="B178">
        <v>4.4391999999999996</v>
      </c>
      <c r="C178" t="b">
        <f t="shared" si="7"/>
        <v>1</v>
      </c>
      <c r="D178" t="b">
        <f t="shared" si="8"/>
        <v>0</v>
      </c>
      <c r="E178">
        <f t="shared" si="9"/>
        <v>23982.866783999998</v>
      </c>
    </row>
    <row r="179" spans="1:5" x14ac:dyDescent="0.2">
      <c r="A179" s="5">
        <v>38530</v>
      </c>
      <c r="B179">
        <v>4.4333999999999998</v>
      </c>
      <c r="C179" t="b">
        <f t="shared" si="7"/>
        <v>0</v>
      </c>
      <c r="D179" t="b">
        <f t="shared" si="8"/>
        <v>1</v>
      </c>
      <c r="E179">
        <f t="shared" si="9"/>
        <v>5409.59</v>
      </c>
    </row>
    <row r="180" spans="1:5" x14ac:dyDescent="0.2">
      <c r="A180" s="5">
        <v>38531</v>
      </c>
      <c r="B180">
        <v>4.4356999999999998</v>
      </c>
      <c r="C180" t="b">
        <f t="shared" si="7"/>
        <v>1</v>
      </c>
      <c r="D180" t="b">
        <f t="shared" si="8"/>
        <v>0</v>
      </c>
      <c r="E180">
        <f t="shared" si="9"/>
        <v>23995.318362999998</v>
      </c>
    </row>
    <row r="181" spans="1:5" x14ac:dyDescent="0.2">
      <c r="A181" s="5">
        <v>38532</v>
      </c>
      <c r="B181">
        <v>4.4402999999999997</v>
      </c>
      <c r="C181" t="b">
        <f t="shared" si="7"/>
        <v>1</v>
      </c>
      <c r="D181" t="b">
        <f t="shared" si="8"/>
        <v>1</v>
      </c>
      <c r="E181">
        <f t="shared" si="9"/>
        <v>5403.99</v>
      </c>
    </row>
    <row r="182" spans="1:5" x14ac:dyDescent="0.2">
      <c r="A182" s="5">
        <v>38533</v>
      </c>
      <c r="B182">
        <v>4.4766000000000004</v>
      </c>
      <c r="C182" t="b">
        <f t="shared" si="7"/>
        <v>1</v>
      </c>
      <c r="D182" t="b">
        <f t="shared" si="8"/>
        <v>0</v>
      </c>
      <c r="E182">
        <f t="shared" si="9"/>
        <v>24191.501634</v>
      </c>
    </row>
    <row r="183" spans="1:5" x14ac:dyDescent="0.2">
      <c r="A183" s="5">
        <v>38534</v>
      </c>
      <c r="B183">
        <v>4.5148000000000001</v>
      </c>
      <c r="C183" t="b">
        <f t="shared" si="7"/>
        <v>1</v>
      </c>
      <c r="D183" t="b">
        <f t="shared" si="8"/>
        <v>1</v>
      </c>
      <c r="E183">
        <f t="shared" si="9"/>
        <v>5358.27</v>
      </c>
    </row>
    <row r="184" spans="1:5" x14ac:dyDescent="0.2">
      <c r="A184" s="5">
        <v>38535</v>
      </c>
      <c r="B184">
        <v>4.5326000000000004</v>
      </c>
      <c r="C184" t="b">
        <f t="shared" si="7"/>
        <v>1</v>
      </c>
      <c r="D184" t="b">
        <f t="shared" si="8"/>
        <v>0</v>
      </c>
      <c r="E184">
        <f t="shared" si="9"/>
        <v>24286.894602000004</v>
      </c>
    </row>
    <row r="185" spans="1:5" x14ac:dyDescent="0.2">
      <c r="A185" s="5">
        <v>38536</v>
      </c>
      <c r="B185">
        <v>4.4995000000000003</v>
      </c>
      <c r="C185" t="b">
        <f t="shared" si="7"/>
        <v>0</v>
      </c>
      <c r="D185" t="b">
        <f t="shared" si="8"/>
        <v>1</v>
      </c>
      <c r="E185">
        <f t="shared" si="9"/>
        <v>5397.69</v>
      </c>
    </row>
    <row r="186" spans="1:5" x14ac:dyDescent="0.2">
      <c r="A186" s="5">
        <v>38537</v>
      </c>
      <c r="B186">
        <v>4.5179999999999998</v>
      </c>
      <c r="C186" t="b">
        <f t="shared" si="7"/>
        <v>1</v>
      </c>
      <c r="D186" t="b">
        <f t="shared" si="8"/>
        <v>0</v>
      </c>
      <c r="E186">
        <f t="shared" si="9"/>
        <v>24386.763419999996</v>
      </c>
    </row>
    <row r="187" spans="1:5" x14ac:dyDescent="0.2">
      <c r="A187" s="5">
        <v>38538</v>
      </c>
      <c r="B187">
        <v>4.4976000000000003</v>
      </c>
      <c r="C187" t="b">
        <f t="shared" si="7"/>
        <v>0</v>
      </c>
      <c r="D187" t="b">
        <f t="shared" si="8"/>
        <v>1</v>
      </c>
      <c r="E187">
        <f t="shared" si="9"/>
        <v>5422.17</v>
      </c>
    </row>
    <row r="188" spans="1:5" x14ac:dyDescent="0.2">
      <c r="A188" s="5">
        <v>38539</v>
      </c>
      <c r="B188">
        <v>4.4917999999999996</v>
      </c>
      <c r="C188" t="b">
        <f t="shared" si="7"/>
        <v>0</v>
      </c>
      <c r="D188" t="b">
        <f t="shared" si="8"/>
        <v>1</v>
      </c>
      <c r="E188">
        <f t="shared" si="9"/>
        <v>5422.17</v>
      </c>
    </row>
    <row r="189" spans="1:5" x14ac:dyDescent="0.2">
      <c r="A189" s="5">
        <v>38540</v>
      </c>
      <c r="B189">
        <v>4.5067000000000004</v>
      </c>
      <c r="C189" t="b">
        <f t="shared" si="7"/>
        <v>1</v>
      </c>
      <c r="D189" t="b">
        <f t="shared" si="8"/>
        <v>0</v>
      </c>
      <c r="E189">
        <f t="shared" si="9"/>
        <v>24436.093539000001</v>
      </c>
    </row>
    <row r="190" spans="1:5" x14ac:dyDescent="0.2">
      <c r="A190" s="5">
        <v>38541</v>
      </c>
      <c r="B190">
        <v>4.5450999999999997</v>
      </c>
      <c r="C190" t="b">
        <f t="shared" si="7"/>
        <v>1</v>
      </c>
      <c r="D190" t="b">
        <f t="shared" si="8"/>
        <v>1</v>
      </c>
      <c r="E190">
        <f t="shared" si="9"/>
        <v>5376.36</v>
      </c>
    </row>
    <row r="191" spans="1:5" x14ac:dyDescent="0.2">
      <c r="A191" s="5">
        <v>38542</v>
      </c>
      <c r="B191">
        <v>4.5503999999999998</v>
      </c>
      <c r="C191" t="b">
        <f t="shared" si="7"/>
        <v>1</v>
      </c>
      <c r="D191" t="b">
        <f t="shared" si="8"/>
        <v>0</v>
      </c>
      <c r="E191">
        <f t="shared" si="9"/>
        <v>24464.588543999998</v>
      </c>
    </row>
    <row r="192" spans="1:5" x14ac:dyDescent="0.2">
      <c r="A192" s="5">
        <v>38543</v>
      </c>
      <c r="B192">
        <v>4.6435000000000004</v>
      </c>
      <c r="C192" t="b">
        <f t="shared" si="7"/>
        <v>1</v>
      </c>
      <c r="D192" t="b">
        <f t="shared" si="8"/>
        <v>1</v>
      </c>
      <c r="E192">
        <f t="shared" si="9"/>
        <v>5268.57</v>
      </c>
    </row>
    <row r="193" spans="1:5" x14ac:dyDescent="0.2">
      <c r="A193" s="5">
        <v>38544</v>
      </c>
      <c r="B193">
        <v>4.5685000000000002</v>
      </c>
      <c r="C193" t="b">
        <f t="shared" si="7"/>
        <v>0</v>
      </c>
      <c r="D193" t="b">
        <f t="shared" si="8"/>
        <v>1</v>
      </c>
      <c r="E193">
        <f t="shared" si="9"/>
        <v>5268.57</v>
      </c>
    </row>
    <row r="194" spans="1:5" x14ac:dyDescent="0.2">
      <c r="A194" s="5">
        <v>38545</v>
      </c>
      <c r="B194">
        <v>4.5732999999999997</v>
      </c>
      <c r="C194" t="b">
        <f t="shared" si="7"/>
        <v>1</v>
      </c>
      <c r="D194" t="b">
        <f t="shared" si="8"/>
        <v>0</v>
      </c>
      <c r="E194">
        <f t="shared" si="9"/>
        <v>24094.751180999996</v>
      </c>
    </row>
    <row r="195" spans="1:5" x14ac:dyDescent="0.2">
      <c r="A195" s="5">
        <v>38546</v>
      </c>
      <c r="B195">
        <v>4.5467000000000004</v>
      </c>
      <c r="C195" t="b">
        <f t="shared" si="7"/>
        <v>0</v>
      </c>
      <c r="D195" t="b">
        <f t="shared" si="8"/>
        <v>1</v>
      </c>
      <c r="E195">
        <f t="shared" si="9"/>
        <v>5299.39</v>
      </c>
    </row>
    <row r="196" spans="1:5" x14ac:dyDescent="0.2">
      <c r="A196" s="5">
        <v>38547</v>
      </c>
      <c r="B196">
        <v>4.5372000000000003</v>
      </c>
      <c r="C196" t="b">
        <f t="shared" ref="C196:C259" si="10">B195&lt;B196</f>
        <v>0</v>
      </c>
      <c r="D196" t="b">
        <f t="shared" ref="D196:D259" si="11">IF(D195,IF(C196,FALSE,TRUE),TRUE)</f>
        <v>1</v>
      </c>
      <c r="E196">
        <f t="shared" si="9"/>
        <v>5299.39</v>
      </c>
    </row>
    <row r="197" spans="1:5" x14ac:dyDescent="0.2">
      <c r="A197" s="5">
        <v>38548</v>
      </c>
      <c r="B197">
        <v>4.5624000000000002</v>
      </c>
      <c r="C197" t="b">
        <f t="shared" si="10"/>
        <v>1</v>
      </c>
      <c r="D197" t="b">
        <f t="shared" si="11"/>
        <v>0</v>
      </c>
      <c r="E197">
        <f t="shared" si="9"/>
        <v>24177.936936000002</v>
      </c>
    </row>
    <row r="198" spans="1:5" x14ac:dyDescent="0.2">
      <c r="A198" s="5">
        <v>38549</v>
      </c>
      <c r="B198">
        <v>4.5522999999999998</v>
      </c>
      <c r="C198" t="b">
        <f t="shared" si="10"/>
        <v>0</v>
      </c>
      <c r="D198" t="b">
        <f t="shared" si="11"/>
        <v>1</v>
      </c>
      <c r="E198">
        <f t="shared" si="9"/>
        <v>5311.15</v>
      </c>
    </row>
    <row r="199" spans="1:5" x14ac:dyDescent="0.2">
      <c r="A199" s="5">
        <v>38550</v>
      </c>
      <c r="B199">
        <v>4.5107999999999997</v>
      </c>
      <c r="C199" t="b">
        <f t="shared" si="10"/>
        <v>0</v>
      </c>
      <c r="D199" t="b">
        <f t="shared" si="11"/>
        <v>1</v>
      </c>
      <c r="E199">
        <f t="shared" ref="E199:E262" si="12">IF(D198,IF(C199,E198*B199,E198),ROUND(E198/B199,2))</f>
        <v>5311.15</v>
      </c>
    </row>
    <row r="200" spans="1:5" x14ac:dyDescent="0.2">
      <c r="A200" s="5">
        <v>38551</v>
      </c>
      <c r="B200">
        <v>4.5343</v>
      </c>
      <c r="C200" t="b">
        <f t="shared" si="10"/>
        <v>1</v>
      </c>
      <c r="D200" t="b">
        <f t="shared" si="11"/>
        <v>0</v>
      </c>
      <c r="E200">
        <f t="shared" si="12"/>
        <v>24082.347444999999</v>
      </c>
    </row>
    <row r="201" spans="1:5" x14ac:dyDescent="0.2">
      <c r="A201" s="5">
        <v>38552</v>
      </c>
      <c r="B201">
        <v>4.5084</v>
      </c>
      <c r="C201" t="b">
        <f t="shared" si="10"/>
        <v>0</v>
      </c>
      <c r="D201" t="b">
        <f t="shared" si="11"/>
        <v>1</v>
      </c>
      <c r="E201">
        <f t="shared" si="12"/>
        <v>5341.66</v>
      </c>
    </row>
    <row r="202" spans="1:5" x14ac:dyDescent="0.2">
      <c r="A202" s="5">
        <v>38553</v>
      </c>
      <c r="B202">
        <v>4.5258000000000003</v>
      </c>
      <c r="C202" t="b">
        <f t="shared" si="10"/>
        <v>1</v>
      </c>
      <c r="D202" t="b">
        <f t="shared" si="11"/>
        <v>0</v>
      </c>
      <c r="E202">
        <f t="shared" si="12"/>
        <v>24175.284828</v>
      </c>
    </row>
    <row r="203" spans="1:5" x14ac:dyDescent="0.2">
      <c r="A203" s="5">
        <v>38554</v>
      </c>
      <c r="B203">
        <v>4.5591999999999997</v>
      </c>
      <c r="C203" t="b">
        <f t="shared" si="10"/>
        <v>1</v>
      </c>
      <c r="D203" t="b">
        <f t="shared" si="11"/>
        <v>1</v>
      </c>
      <c r="E203">
        <f t="shared" si="12"/>
        <v>5302.53</v>
      </c>
    </row>
    <row r="204" spans="1:5" x14ac:dyDescent="0.2">
      <c r="A204" s="5">
        <v>38555</v>
      </c>
      <c r="B204">
        <v>4.6056999999999997</v>
      </c>
      <c r="C204" t="b">
        <f t="shared" si="10"/>
        <v>1</v>
      </c>
      <c r="D204" t="b">
        <f t="shared" si="11"/>
        <v>0</v>
      </c>
      <c r="E204">
        <f t="shared" si="12"/>
        <v>24421.862420999998</v>
      </c>
    </row>
    <row r="205" spans="1:5" x14ac:dyDescent="0.2">
      <c r="A205" s="5">
        <v>38556</v>
      </c>
      <c r="B205">
        <v>4.6021000000000001</v>
      </c>
      <c r="C205" t="b">
        <f t="shared" si="10"/>
        <v>0</v>
      </c>
      <c r="D205" t="b">
        <f t="shared" si="11"/>
        <v>1</v>
      </c>
      <c r="E205">
        <f t="shared" si="12"/>
        <v>5306.68</v>
      </c>
    </row>
    <row r="206" spans="1:5" x14ac:dyDescent="0.2">
      <c r="A206" s="5">
        <v>38557</v>
      </c>
      <c r="B206">
        <v>4.6155999999999997</v>
      </c>
      <c r="C206" t="b">
        <f t="shared" si="10"/>
        <v>1</v>
      </c>
      <c r="D206" t="b">
        <f t="shared" si="11"/>
        <v>0</v>
      </c>
      <c r="E206">
        <f t="shared" si="12"/>
        <v>24493.512208</v>
      </c>
    </row>
    <row r="207" spans="1:5" x14ac:dyDescent="0.2">
      <c r="A207" s="5">
        <v>38558</v>
      </c>
      <c r="B207">
        <v>4.5913000000000004</v>
      </c>
      <c r="C207" t="b">
        <f t="shared" si="10"/>
        <v>0</v>
      </c>
      <c r="D207" t="b">
        <f t="shared" si="11"/>
        <v>1</v>
      </c>
      <c r="E207">
        <f t="shared" si="12"/>
        <v>5334.77</v>
      </c>
    </row>
    <row r="208" spans="1:5" x14ac:dyDescent="0.2">
      <c r="A208" s="5">
        <v>38559</v>
      </c>
      <c r="B208">
        <v>4.6127000000000002</v>
      </c>
      <c r="C208" t="b">
        <f t="shared" si="10"/>
        <v>1</v>
      </c>
      <c r="D208" t="b">
        <f t="shared" si="11"/>
        <v>0</v>
      </c>
      <c r="E208">
        <f t="shared" si="12"/>
        <v>24607.693579000003</v>
      </c>
    </row>
    <row r="209" spans="1:5" x14ac:dyDescent="0.2">
      <c r="A209" s="5">
        <v>38560</v>
      </c>
      <c r="B209">
        <v>4.6468999999999996</v>
      </c>
      <c r="C209" t="b">
        <f t="shared" si="10"/>
        <v>1</v>
      </c>
      <c r="D209" t="b">
        <f t="shared" si="11"/>
        <v>1</v>
      </c>
      <c r="E209">
        <f t="shared" si="12"/>
        <v>5295.51</v>
      </c>
    </row>
    <row r="210" spans="1:5" x14ac:dyDescent="0.2">
      <c r="A210" s="5">
        <v>38561</v>
      </c>
      <c r="B210">
        <v>4.6486999999999998</v>
      </c>
      <c r="C210" t="b">
        <f t="shared" si="10"/>
        <v>1</v>
      </c>
      <c r="D210" t="b">
        <f t="shared" si="11"/>
        <v>0</v>
      </c>
      <c r="E210">
        <f t="shared" si="12"/>
        <v>24617.237336999999</v>
      </c>
    </row>
    <row r="211" spans="1:5" x14ac:dyDescent="0.2">
      <c r="A211" s="5">
        <v>38562</v>
      </c>
      <c r="B211">
        <v>4.6595000000000004</v>
      </c>
      <c r="C211" t="b">
        <f t="shared" si="10"/>
        <v>1</v>
      </c>
      <c r="D211" t="b">
        <f t="shared" si="11"/>
        <v>1</v>
      </c>
      <c r="E211">
        <f t="shared" si="12"/>
        <v>5283.24</v>
      </c>
    </row>
    <row r="212" spans="1:5" x14ac:dyDescent="0.2">
      <c r="A212" s="5">
        <v>38563</v>
      </c>
      <c r="B212">
        <v>4.6577000000000002</v>
      </c>
      <c r="C212" t="b">
        <f t="shared" si="10"/>
        <v>0</v>
      </c>
      <c r="D212" t="b">
        <f t="shared" si="11"/>
        <v>1</v>
      </c>
      <c r="E212">
        <f t="shared" si="12"/>
        <v>5283.24</v>
      </c>
    </row>
    <row r="213" spans="1:5" x14ac:dyDescent="0.2">
      <c r="A213" s="5">
        <v>38564</v>
      </c>
      <c r="B213">
        <v>4.6517999999999997</v>
      </c>
      <c r="C213" t="b">
        <f t="shared" si="10"/>
        <v>0</v>
      </c>
      <c r="D213" t="b">
        <f t="shared" si="11"/>
        <v>1</v>
      </c>
      <c r="E213">
        <f t="shared" si="12"/>
        <v>5283.24</v>
      </c>
    </row>
    <row r="214" spans="1:5" x14ac:dyDescent="0.2">
      <c r="A214" s="5">
        <v>38565</v>
      </c>
      <c r="B214">
        <v>4.6571999999999996</v>
      </c>
      <c r="C214" t="b">
        <f t="shared" si="10"/>
        <v>1</v>
      </c>
      <c r="D214" t="b">
        <f t="shared" si="11"/>
        <v>0</v>
      </c>
      <c r="E214">
        <f t="shared" si="12"/>
        <v>24605.105327999998</v>
      </c>
    </row>
    <row r="215" spans="1:5" x14ac:dyDescent="0.2">
      <c r="A215" s="5">
        <v>38566</v>
      </c>
      <c r="B215">
        <v>4.6825999999999999</v>
      </c>
      <c r="C215" t="b">
        <f t="shared" si="10"/>
        <v>1</v>
      </c>
      <c r="D215" t="b">
        <f t="shared" si="11"/>
        <v>1</v>
      </c>
      <c r="E215">
        <f t="shared" si="12"/>
        <v>5254.58</v>
      </c>
    </row>
    <row r="216" spans="1:5" x14ac:dyDescent="0.2">
      <c r="A216" s="5">
        <v>38567</v>
      </c>
      <c r="B216">
        <v>4.6566000000000001</v>
      </c>
      <c r="C216" t="b">
        <f t="shared" si="10"/>
        <v>0</v>
      </c>
      <c r="D216" t="b">
        <f t="shared" si="11"/>
        <v>1</v>
      </c>
      <c r="E216">
        <f t="shared" si="12"/>
        <v>5254.58</v>
      </c>
    </row>
    <row r="217" spans="1:5" x14ac:dyDescent="0.2">
      <c r="A217" s="5">
        <v>38568</v>
      </c>
      <c r="B217">
        <v>4.6249000000000002</v>
      </c>
      <c r="C217" t="b">
        <f t="shared" si="10"/>
        <v>0</v>
      </c>
      <c r="D217" t="b">
        <f t="shared" si="11"/>
        <v>1</v>
      </c>
      <c r="E217">
        <f t="shared" si="12"/>
        <v>5254.58</v>
      </c>
    </row>
    <row r="218" spans="1:5" x14ac:dyDescent="0.2">
      <c r="A218" s="5">
        <v>38569</v>
      </c>
      <c r="B218">
        <v>4.5811999999999999</v>
      </c>
      <c r="C218" t="b">
        <f t="shared" si="10"/>
        <v>0</v>
      </c>
      <c r="D218" t="b">
        <f t="shared" si="11"/>
        <v>1</v>
      </c>
      <c r="E218">
        <f t="shared" si="12"/>
        <v>5254.58</v>
      </c>
    </row>
    <row r="219" spans="1:5" x14ac:dyDescent="0.2">
      <c r="A219" s="5">
        <v>38570</v>
      </c>
      <c r="B219">
        <v>4.6067999999999998</v>
      </c>
      <c r="C219" t="b">
        <f t="shared" si="10"/>
        <v>1</v>
      </c>
      <c r="D219" t="b">
        <f t="shared" si="11"/>
        <v>0</v>
      </c>
      <c r="E219">
        <f t="shared" si="12"/>
        <v>24206.799143999997</v>
      </c>
    </row>
    <row r="220" spans="1:5" x14ac:dyDescent="0.2">
      <c r="A220" s="5">
        <v>38571</v>
      </c>
      <c r="B220">
        <v>4.5834999999999999</v>
      </c>
      <c r="C220" t="b">
        <f t="shared" si="10"/>
        <v>0</v>
      </c>
      <c r="D220" t="b">
        <f t="shared" si="11"/>
        <v>1</v>
      </c>
      <c r="E220">
        <f t="shared" si="12"/>
        <v>5281.29</v>
      </c>
    </row>
    <row r="221" spans="1:5" x14ac:dyDescent="0.2">
      <c r="A221" s="5">
        <v>38572</v>
      </c>
      <c r="B221">
        <v>4.5872999999999999</v>
      </c>
      <c r="C221" t="b">
        <f t="shared" si="10"/>
        <v>1</v>
      </c>
      <c r="D221" t="b">
        <f t="shared" si="11"/>
        <v>0</v>
      </c>
      <c r="E221">
        <f t="shared" si="12"/>
        <v>24226.861616999999</v>
      </c>
    </row>
    <row r="222" spans="1:5" x14ac:dyDescent="0.2">
      <c r="A222" s="5">
        <v>38573</v>
      </c>
      <c r="B222">
        <v>4.5891999999999999</v>
      </c>
      <c r="C222" t="b">
        <f t="shared" si="10"/>
        <v>1</v>
      </c>
      <c r="D222" t="b">
        <f t="shared" si="11"/>
        <v>1</v>
      </c>
      <c r="E222">
        <f t="shared" si="12"/>
        <v>5279.1</v>
      </c>
    </row>
    <row r="223" spans="1:5" x14ac:dyDescent="0.2">
      <c r="A223" s="5">
        <v>38574</v>
      </c>
      <c r="B223">
        <v>4.5831999999999997</v>
      </c>
      <c r="C223" t="b">
        <f t="shared" si="10"/>
        <v>0</v>
      </c>
      <c r="D223" t="b">
        <f t="shared" si="11"/>
        <v>1</v>
      </c>
      <c r="E223">
        <f t="shared" si="12"/>
        <v>5279.1</v>
      </c>
    </row>
    <row r="224" spans="1:5" x14ac:dyDescent="0.2">
      <c r="A224" s="5">
        <v>38575</v>
      </c>
      <c r="B224">
        <v>4.5726000000000004</v>
      </c>
      <c r="C224" t="b">
        <f t="shared" si="10"/>
        <v>0</v>
      </c>
      <c r="D224" t="b">
        <f t="shared" si="11"/>
        <v>1</v>
      </c>
      <c r="E224">
        <f t="shared" si="12"/>
        <v>5279.1</v>
      </c>
    </row>
    <row r="225" spans="1:5" x14ac:dyDescent="0.2">
      <c r="A225" s="5">
        <v>38576</v>
      </c>
      <c r="B225">
        <v>4.5747999999999998</v>
      </c>
      <c r="C225" t="b">
        <f t="shared" si="10"/>
        <v>1</v>
      </c>
      <c r="D225" t="b">
        <f t="shared" si="11"/>
        <v>0</v>
      </c>
      <c r="E225">
        <f t="shared" si="12"/>
        <v>24150.826680000002</v>
      </c>
    </row>
    <row r="226" spans="1:5" x14ac:dyDescent="0.2">
      <c r="A226" s="5">
        <v>38577</v>
      </c>
      <c r="B226">
        <v>4.5869</v>
      </c>
      <c r="C226" t="b">
        <f t="shared" si="10"/>
        <v>1</v>
      </c>
      <c r="D226" t="b">
        <f t="shared" si="11"/>
        <v>1</v>
      </c>
      <c r="E226">
        <f t="shared" si="12"/>
        <v>5265.17</v>
      </c>
    </row>
    <row r="227" spans="1:5" x14ac:dyDescent="0.2">
      <c r="A227" s="5">
        <v>38578</v>
      </c>
      <c r="B227">
        <v>4.6143000000000001</v>
      </c>
      <c r="C227" t="b">
        <f t="shared" si="10"/>
        <v>1</v>
      </c>
      <c r="D227" t="b">
        <f t="shared" si="11"/>
        <v>0</v>
      </c>
      <c r="E227">
        <f t="shared" si="12"/>
        <v>24295.073930999999</v>
      </c>
    </row>
    <row r="228" spans="1:5" x14ac:dyDescent="0.2">
      <c r="A228" s="5">
        <v>38579</v>
      </c>
      <c r="B228">
        <v>4.6223000000000001</v>
      </c>
      <c r="C228" t="b">
        <f t="shared" si="10"/>
        <v>1</v>
      </c>
      <c r="D228" t="b">
        <f t="shared" si="11"/>
        <v>1</v>
      </c>
      <c r="E228">
        <f t="shared" si="12"/>
        <v>5256.06</v>
      </c>
    </row>
    <row r="229" spans="1:5" x14ac:dyDescent="0.2">
      <c r="A229" s="5">
        <v>38580</v>
      </c>
      <c r="B229">
        <v>4.6513999999999998</v>
      </c>
      <c r="C229" t="b">
        <f t="shared" si="10"/>
        <v>1</v>
      </c>
      <c r="D229" t="b">
        <f t="shared" si="11"/>
        <v>0</v>
      </c>
      <c r="E229">
        <f t="shared" si="12"/>
        <v>24448.037484</v>
      </c>
    </row>
    <row r="230" spans="1:5" x14ac:dyDescent="0.2">
      <c r="A230" s="5">
        <v>38581</v>
      </c>
      <c r="B230">
        <v>4.6516000000000002</v>
      </c>
      <c r="C230" t="b">
        <f t="shared" si="10"/>
        <v>1</v>
      </c>
      <c r="D230" t="b">
        <f t="shared" si="11"/>
        <v>1</v>
      </c>
      <c r="E230">
        <f t="shared" si="12"/>
        <v>5255.83</v>
      </c>
    </row>
    <row r="231" spans="1:5" x14ac:dyDescent="0.2">
      <c r="A231" s="5">
        <v>38582</v>
      </c>
      <c r="B231">
        <v>4.6467999999999998</v>
      </c>
      <c r="C231" t="b">
        <f t="shared" si="10"/>
        <v>0</v>
      </c>
      <c r="D231" t="b">
        <f t="shared" si="11"/>
        <v>1</v>
      </c>
      <c r="E231">
        <f t="shared" si="12"/>
        <v>5255.83</v>
      </c>
    </row>
    <row r="232" spans="1:5" x14ac:dyDescent="0.2">
      <c r="A232" s="5">
        <v>38583</v>
      </c>
      <c r="B232">
        <v>4.6567999999999996</v>
      </c>
      <c r="C232" t="b">
        <f t="shared" si="10"/>
        <v>1</v>
      </c>
      <c r="D232" t="b">
        <f t="shared" si="11"/>
        <v>0</v>
      </c>
      <c r="E232">
        <f t="shared" si="12"/>
        <v>24475.349143999996</v>
      </c>
    </row>
    <row r="233" spans="1:5" x14ac:dyDescent="0.2">
      <c r="A233" s="5">
        <v>38584</v>
      </c>
      <c r="B233">
        <v>4.6661999999999999</v>
      </c>
      <c r="C233" t="b">
        <f t="shared" si="10"/>
        <v>1</v>
      </c>
      <c r="D233" t="b">
        <f t="shared" si="11"/>
        <v>1</v>
      </c>
      <c r="E233">
        <f t="shared" si="12"/>
        <v>5245.24</v>
      </c>
    </row>
    <row r="234" spans="1:5" x14ac:dyDescent="0.2">
      <c r="A234" s="5">
        <v>38585</v>
      </c>
      <c r="B234">
        <v>4.7126999999999999</v>
      </c>
      <c r="C234" t="b">
        <f t="shared" si="10"/>
        <v>1</v>
      </c>
      <c r="D234" t="b">
        <f t="shared" si="11"/>
        <v>0</v>
      </c>
      <c r="E234">
        <f t="shared" si="12"/>
        <v>24719.242547999998</v>
      </c>
    </row>
    <row r="235" spans="1:5" x14ac:dyDescent="0.2">
      <c r="A235" s="5">
        <v>38586</v>
      </c>
      <c r="B235">
        <v>4.6494</v>
      </c>
      <c r="C235" t="b">
        <f t="shared" si="10"/>
        <v>0</v>
      </c>
      <c r="D235" t="b">
        <f t="shared" si="11"/>
        <v>1</v>
      </c>
      <c r="E235">
        <f t="shared" si="12"/>
        <v>5316.65</v>
      </c>
    </row>
    <row r="236" spans="1:5" x14ac:dyDescent="0.2">
      <c r="A236" s="5">
        <v>38587</v>
      </c>
      <c r="B236">
        <v>4.6692</v>
      </c>
      <c r="C236" t="b">
        <f t="shared" si="10"/>
        <v>1</v>
      </c>
      <c r="D236" t="b">
        <f t="shared" si="11"/>
        <v>0</v>
      </c>
      <c r="E236">
        <f t="shared" si="12"/>
        <v>24824.502179999999</v>
      </c>
    </row>
    <row r="237" spans="1:5" x14ac:dyDescent="0.2">
      <c r="A237" s="5">
        <v>38588</v>
      </c>
      <c r="B237">
        <v>4.6635999999999997</v>
      </c>
      <c r="C237" t="b">
        <f t="shared" si="10"/>
        <v>0</v>
      </c>
      <c r="D237" t="b">
        <f t="shared" si="11"/>
        <v>1</v>
      </c>
      <c r="E237">
        <f t="shared" si="12"/>
        <v>5323.03</v>
      </c>
    </row>
    <row r="238" spans="1:5" x14ac:dyDescent="0.2">
      <c r="A238" s="5">
        <v>38589</v>
      </c>
      <c r="B238">
        <v>4.6337000000000002</v>
      </c>
      <c r="C238" t="b">
        <f t="shared" si="10"/>
        <v>0</v>
      </c>
      <c r="D238" t="b">
        <f t="shared" si="11"/>
        <v>1</v>
      </c>
      <c r="E238">
        <f t="shared" si="12"/>
        <v>5323.03</v>
      </c>
    </row>
    <row r="239" spans="1:5" x14ac:dyDescent="0.2">
      <c r="A239" s="5">
        <v>38590</v>
      </c>
      <c r="B239">
        <v>4.6318000000000001</v>
      </c>
      <c r="C239" t="b">
        <f t="shared" si="10"/>
        <v>0</v>
      </c>
      <c r="D239" t="b">
        <f t="shared" si="11"/>
        <v>1</v>
      </c>
      <c r="E239">
        <f t="shared" si="12"/>
        <v>5323.03</v>
      </c>
    </row>
    <row r="240" spans="1:5" x14ac:dyDescent="0.2">
      <c r="A240" s="5">
        <v>38591</v>
      </c>
      <c r="B240">
        <v>4.6517999999999997</v>
      </c>
      <c r="C240" t="b">
        <f t="shared" si="10"/>
        <v>1</v>
      </c>
      <c r="D240" t="b">
        <f t="shared" si="11"/>
        <v>0</v>
      </c>
      <c r="E240">
        <f t="shared" si="12"/>
        <v>24761.670953999997</v>
      </c>
    </row>
    <row r="241" spans="1:5" x14ac:dyDescent="0.2">
      <c r="A241" s="5">
        <v>38592</v>
      </c>
      <c r="B241">
        <v>4.6707999999999998</v>
      </c>
      <c r="C241" t="b">
        <f t="shared" si="10"/>
        <v>1</v>
      </c>
      <c r="D241" t="b">
        <f t="shared" si="11"/>
        <v>1</v>
      </c>
      <c r="E241">
        <f t="shared" si="12"/>
        <v>5301.38</v>
      </c>
    </row>
    <row r="242" spans="1:5" x14ac:dyDescent="0.2">
      <c r="A242" s="5">
        <v>38593</v>
      </c>
      <c r="B242">
        <v>4.6528999999999998</v>
      </c>
      <c r="C242" t="b">
        <f t="shared" si="10"/>
        <v>0</v>
      </c>
      <c r="D242" t="b">
        <f t="shared" si="11"/>
        <v>1</v>
      </c>
      <c r="E242">
        <f t="shared" si="12"/>
        <v>5301.38</v>
      </c>
    </row>
    <row r="243" spans="1:5" x14ac:dyDescent="0.2">
      <c r="A243" s="5">
        <v>38594</v>
      </c>
      <c r="B243">
        <v>4.6464999999999996</v>
      </c>
      <c r="C243" t="b">
        <f t="shared" si="10"/>
        <v>0</v>
      </c>
      <c r="D243" t="b">
        <f t="shared" si="11"/>
        <v>1</v>
      </c>
      <c r="E243">
        <f t="shared" si="12"/>
        <v>5301.38</v>
      </c>
    </row>
    <row r="244" spans="1:5" x14ac:dyDescent="0.2">
      <c r="A244" s="5">
        <v>38595</v>
      </c>
      <c r="B244">
        <v>4.6573000000000002</v>
      </c>
      <c r="C244" t="b">
        <f t="shared" si="10"/>
        <v>1</v>
      </c>
      <c r="D244" t="b">
        <f t="shared" si="11"/>
        <v>0</v>
      </c>
      <c r="E244">
        <f t="shared" si="12"/>
        <v>24690.117074000002</v>
      </c>
    </row>
    <row r="245" spans="1:5" x14ac:dyDescent="0.2">
      <c r="A245" s="5">
        <v>38596</v>
      </c>
      <c r="B245">
        <v>4.6565000000000003</v>
      </c>
      <c r="C245" t="b">
        <f t="shared" si="10"/>
        <v>0</v>
      </c>
      <c r="D245" t="b">
        <f t="shared" si="11"/>
        <v>1</v>
      </c>
      <c r="E245">
        <f t="shared" si="12"/>
        <v>5302.29</v>
      </c>
    </row>
    <row r="246" spans="1:5" x14ac:dyDescent="0.2">
      <c r="A246" s="5">
        <v>38597</v>
      </c>
      <c r="B246">
        <v>4.6344000000000003</v>
      </c>
      <c r="C246" t="b">
        <f t="shared" si="10"/>
        <v>0</v>
      </c>
      <c r="D246" t="b">
        <f t="shared" si="11"/>
        <v>1</v>
      </c>
      <c r="E246">
        <f t="shared" si="12"/>
        <v>5302.29</v>
      </c>
    </row>
    <row r="247" spans="1:5" x14ac:dyDescent="0.2">
      <c r="A247" s="5">
        <v>38598</v>
      </c>
      <c r="B247">
        <v>4.6349999999999998</v>
      </c>
      <c r="C247" t="b">
        <f t="shared" si="10"/>
        <v>1</v>
      </c>
      <c r="D247" t="b">
        <f t="shared" si="11"/>
        <v>0</v>
      </c>
      <c r="E247">
        <f t="shared" si="12"/>
        <v>24576.114149999998</v>
      </c>
    </row>
    <row r="248" spans="1:5" x14ac:dyDescent="0.2">
      <c r="A248" s="5">
        <v>38599</v>
      </c>
      <c r="B248">
        <v>4.6566000000000001</v>
      </c>
      <c r="C248" t="b">
        <f t="shared" si="10"/>
        <v>1</v>
      </c>
      <c r="D248" t="b">
        <f t="shared" si="11"/>
        <v>1</v>
      </c>
      <c r="E248">
        <f t="shared" si="12"/>
        <v>5277.69</v>
      </c>
    </row>
    <row r="249" spans="1:5" x14ac:dyDescent="0.2">
      <c r="A249" s="5">
        <v>38600</v>
      </c>
      <c r="B249">
        <v>4.6478999999999999</v>
      </c>
      <c r="C249" t="b">
        <f t="shared" si="10"/>
        <v>0</v>
      </c>
      <c r="D249" t="b">
        <f t="shared" si="11"/>
        <v>1</v>
      </c>
      <c r="E249">
        <f t="shared" si="12"/>
        <v>5277.69</v>
      </c>
    </row>
    <row r="250" spans="1:5" x14ac:dyDescent="0.2">
      <c r="A250" s="5">
        <v>38601</v>
      </c>
      <c r="B250">
        <v>4.6477000000000004</v>
      </c>
      <c r="C250" t="b">
        <f t="shared" si="10"/>
        <v>0</v>
      </c>
      <c r="D250" t="b">
        <f t="shared" si="11"/>
        <v>1</v>
      </c>
      <c r="E250">
        <f t="shared" si="12"/>
        <v>5277.69</v>
      </c>
    </row>
    <row r="251" spans="1:5" x14ac:dyDescent="0.2">
      <c r="A251" s="5">
        <v>38602</v>
      </c>
      <c r="B251">
        <v>4.6482999999999999</v>
      </c>
      <c r="C251" t="b">
        <f t="shared" si="10"/>
        <v>1</v>
      </c>
      <c r="D251" t="b">
        <f t="shared" si="11"/>
        <v>0</v>
      </c>
      <c r="E251">
        <f t="shared" si="12"/>
        <v>24532.286426999999</v>
      </c>
    </row>
    <row r="252" spans="1:5" x14ac:dyDescent="0.2">
      <c r="A252" s="5">
        <v>38603</v>
      </c>
      <c r="B252">
        <v>4.6559999999999997</v>
      </c>
      <c r="C252" t="b">
        <f t="shared" si="10"/>
        <v>1</v>
      </c>
      <c r="D252" t="b">
        <f t="shared" si="11"/>
        <v>1</v>
      </c>
      <c r="E252">
        <f t="shared" si="12"/>
        <v>5268.96</v>
      </c>
    </row>
    <row r="253" spans="1:5" x14ac:dyDescent="0.2">
      <c r="A253" s="5">
        <v>38604</v>
      </c>
      <c r="B253">
        <v>4.6699000000000002</v>
      </c>
      <c r="C253" t="b">
        <f t="shared" si="10"/>
        <v>1</v>
      </c>
      <c r="D253" t="b">
        <f t="shared" si="11"/>
        <v>0</v>
      </c>
      <c r="E253">
        <f t="shared" si="12"/>
        <v>24605.516304000001</v>
      </c>
    </row>
    <row r="254" spans="1:5" x14ac:dyDescent="0.2">
      <c r="A254" s="5">
        <v>38605</v>
      </c>
      <c r="B254">
        <v>4.7007000000000003</v>
      </c>
      <c r="C254" t="b">
        <f t="shared" si="10"/>
        <v>1</v>
      </c>
      <c r="D254" t="b">
        <f t="shared" si="11"/>
        <v>1</v>
      </c>
      <c r="E254">
        <f t="shared" si="12"/>
        <v>5234.4399999999996</v>
      </c>
    </row>
    <row r="255" spans="1:5" x14ac:dyDescent="0.2">
      <c r="A255" s="5">
        <v>38606</v>
      </c>
      <c r="B255">
        <v>4.7169999999999996</v>
      </c>
      <c r="C255" t="b">
        <f t="shared" si="10"/>
        <v>1</v>
      </c>
      <c r="D255" t="b">
        <f t="shared" si="11"/>
        <v>0</v>
      </c>
      <c r="E255">
        <f t="shared" si="12"/>
        <v>24690.853479999998</v>
      </c>
    </row>
    <row r="256" spans="1:5" x14ac:dyDescent="0.2">
      <c r="A256" s="5">
        <v>38607</v>
      </c>
      <c r="B256">
        <v>4.7169999999999996</v>
      </c>
      <c r="C256" t="b">
        <f t="shared" si="10"/>
        <v>0</v>
      </c>
      <c r="D256" t="b">
        <f t="shared" si="11"/>
        <v>1</v>
      </c>
      <c r="E256">
        <f t="shared" si="12"/>
        <v>5234.4399999999996</v>
      </c>
    </row>
    <row r="257" spans="1:5" x14ac:dyDescent="0.2">
      <c r="A257" s="5">
        <v>38608</v>
      </c>
      <c r="B257">
        <v>4.7088999999999999</v>
      </c>
      <c r="C257" t="b">
        <f t="shared" si="10"/>
        <v>0</v>
      </c>
      <c r="D257" t="b">
        <f t="shared" si="11"/>
        <v>1</v>
      </c>
      <c r="E257">
        <f t="shared" si="12"/>
        <v>5234.4399999999996</v>
      </c>
    </row>
    <row r="258" spans="1:5" x14ac:dyDescent="0.2">
      <c r="A258" s="5">
        <v>38609</v>
      </c>
      <c r="B258">
        <v>4.6904000000000003</v>
      </c>
      <c r="C258" t="b">
        <f t="shared" si="10"/>
        <v>0</v>
      </c>
      <c r="D258" t="b">
        <f t="shared" si="11"/>
        <v>1</v>
      </c>
      <c r="E258">
        <f t="shared" si="12"/>
        <v>5234.4399999999996</v>
      </c>
    </row>
    <row r="259" spans="1:5" x14ac:dyDescent="0.2">
      <c r="A259" s="5">
        <v>38610</v>
      </c>
      <c r="B259">
        <v>4.6703999999999999</v>
      </c>
      <c r="C259" t="b">
        <f t="shared" si="10"/>
        <v>0</v>
      </c>
      <c r="D259" t="b">
        <f t="shared" si="11"/>
        <v>1</v>
      </c>
      <c r="E259">
        <f t="shared" si="12"/>
        <v>5234.4399999999996</v>
      </c>
    </row>
    <row r="260" spans="1:5" x14ac:dyDescent="0.2">
      <c r="A260" s="5">
        <v>38611</v>
      </c>
      <c r="B260">
        <v>4.6807999999999996</v>
      </c>
      <c r="C260" t="b">
        <f t="shared" ref="C260:C323" si="13">B259&lt;B260</f>
        <v>1</v>
      </c>
      <c r="D260" t="b">
        <f t="shared" ref="D260:D323" si="14">IF(D259,IF(C260,FALSE,TRUE),TRUE)</f>
        <v>0</v>
      </c>
      <c r="E260">
        <f t="shared" si="12"/>
        <v>24501.366751999994</v>
      </c>
    </row>
    <row r="261" spans="1:5" x14ac:dyDescent="0.2">
      <c r="A261" s="5">
        <v>38612</v>
      </c>
      <c r="B261">
        <v>4.6634000000000002</v>
      </c>
      <c r="C261" t="b">
        <f t="shared" si="13"/>
        <v>0</v>
      </c>
      <c r="D261" t="b">
        <f t="shared" si="14"/>
        <v>1</v>
      </c>
      <c r="E261">
        <f t="shared" si="12"/>
        <v>5253.97</v>
      </c>
    </row>
    <row r="262" spans="1:5" x14ac:dyDescent="0.2">
      <c r="A262" s="5">
        <v>38613</v>
      </c>
      <c r="B262">
        <v>4.6913</v>
      </c>
      <c r="C262" t="b">
        <f t="shared" si="13"/>
        <v>1</v>
      </c>
      <c r="D262" t="b">
        <f t="shared" si="14"/>
        <v>0</v>
      </c>
      <c r="E262">
        <f t="shared" si="12"/>
        <v>24647.949461</v>
      </c>
    </row>
    <row r="263" spans="1:5" x14ac:dyDescent="0.2">
      <c r="A263" s="5">
        <v>38614</v>
      </c>
      <c r="B263">
        <v>4.6977000000000002</v>
      </c>
      <c r="C263" t="b">
        <f t="shared" si="13"/>
        <v>1</v>
      </c>
      <c r="D263" t="b">
        <f t="shared" si="14"/>
        <v>1</v>
      </c>
      <c r="E263">
        <f t="shared" ref="E263:E326" si="15">IF(D262,IF(C263,E262*B263,E262),ROUND(E262/B263,2))</f>
        <v>5246.81</v>
      </c>
    </row>
    <row r="264" spans="1:5" x14ac:dyDescent="0.2">
      <c r="A264" s="5">
        <v>38615</v>
      </c>
      <c r="B264">
        <v>4.7053000000000003</v>
      </c>
      <c r="C264" t="b">
        <f t="shared" si="13"/>
        <v>1</v>
      </c>
      <c r="D264" t="b">
        <f t="shared" si="14"/>
        <v>0</v>
      </c>
      <c r="E264">
        <f t="shared" si="15"/>
        <v>24687.815093000005</v>
      </c>
    </row>
    <row r="265" spans="1:5" x14ac:dyDescent="0.2">
      <c r="A265" s="5">
        <v>38616</v>
      </c>
      <c r="B265">
        <v>4.7335000000000003</v>
      </c>
      <c r="C265" t="b">
        <f t="shared" si="13"/>
        <v>1</v>
      </c>
      <c r="D265" t="b">
        <f t="shared" si="14"/>
        <v>1</v>
      </c>
      <c r="E265">
        <f t="shared" si="15"/>
        <v>5215.55</v>
      </c>
    </row>
    <row r="266" spans="1:5" x14ac:dyDescent="0.2">
      <c r="A266" s="5">
        <v>38617</v>
      </c>
      <c r="B266">
        <v>4.7339000000000002</v>
      </c>
      <c r="C266" t="b">
        <f t="shared" si="13"/>
        <v>1</v>
      </c>
      <c r="D266" t="b">
        <f t="shared" si="14"/>
        <v>0</v>
      </c>
      <c r="E266">
        <f t="shared" si="15"/>
        <v>24689.892145000002</v>
      </c>
    </row>
    <row r="267" spans="1:5" x14ac:dyDescent="0.2">
      <c r="A267" s="5">
        <v>38618</v>
      </c>
      <c r="B267">
        <v>4.7247000000000003</v>
      </c>
      <c r="C267" t="b">
        <f t="shared" si="13"/>
        <v>0</v>
      </c>
      <c r="D267" t="b">
        <f t="shared" si="14"/>
        <v>1</v>
      </c>
      <c r="E267">
        <f t="shared" si="15"/>
        <v>5225.71</v>
      </c>
    </row>
    <row r="268" spans="1:5" x14ac:dyDescent="0.2">
      <c r="A268" s="5">
        <v>38619</v>
      </c>
      <c r="B268">
        <v>4.7157</v>
      </c>
      <c r="C268" t="b">
        <f t="shared" si="13"/>
        <v>0</v>
      </c>
      <c r="D268" t="b">
        <f t="shared" si="14"/>
        <v>1</v>
      </c>
      <c r="E268">
        <f t="shared" si="15"/>
        <v>5225.71</v>
      </c>
    </row>
    <row r="269" spans="1:5" x14ac:dyDescent="0.2">
      <c r="A269" s="5">
        <v>38620</v>
      </c>
      <c r="B269">
        <v>4.7358000000000002</v>
      </c>
      <c r="C269" t="b">
        <f t="shared" si="13"/>
        <v>1</v>
      </c>
      <c r="D269" t="b">
        <f t="shared" si="14"/>
        <v>0</v>
      </c>
      <c r="E269">
        <f t="shared" si="15"/>
        <v>24747.917418000001</v>
      </c>
    </row>
    <row r="270" spans="1:5" x14ac:dyDescent="0.2">
      <c r="A270" s="5">
        <v>38621</v>
      </c>
      <c r="B270">
        <v>4.7255000000000003</v>
      </c>
      <c r="C270" t="b">
        <f t="shared" si="13"/>
        <v>0</v>
      </c>
      <c r="D270" t="b">
        <f t="shared" si="14"/>
        <v>1</v>
      </c>
      <c r="E270">
        <f t="shared" si="15"/>
        <v>5237.1000000000004</v>
      </c>
    </row>
    <row r="271" spans="1:5" x14ac:dyDescent="0.2">
      <c r="A271" s="5">
        <v>38622</v>
      </c>
      <c r="B271">
        <v>4.7088999999999999</v>
      </c>
      <c r="C271" t="b">
        <f t="shared" si="13"/>
        <v>0</v>
      </c>
      <c r="D271" t="b">
        <f t="shared" si="14"/>
        <v>1</v>
      </c>
      <c r="E271">
        <f t="shared" si="15"/>
        <v>5237.1000000000004</v>
      </c>
    </row>
    <row r="272" spans="1:5" x14ac:dyDescent="0.2">
      <c r="A272" s="5">
        <v>38623</v>
      </c>
      <c r="B272">
        <v>4.6924999999999999</v>
      </c>
      <c r="C272" t="b">
        <f t="shared" si="13"/>
        <v>0</v>
      </c>
      <c r="D272" t="b">
        <f t="shared" si="14"/>
        <v>1</v>
      </c>
      <c r="E272">
        <f t="shared" si="15"/>
        <v>5237.1000000000004</v>
      </c>
    </row>
    <row r="273" spans="1:5" x14ac:dyDescent="0.2">
      <c r="A273" s="5">
        <v>38624</v>
      </c>
      <c r="B273">
        <v>4.7004000000000001</v>
      </c>
      <c r="C273" t="b">
        <f t="shared" si="13"/>
        <v>1</v>
      </c>
      <c r="D273" t="b">
        <f t="shared" si="14"/>
        <v>0</v>
      </c>
      <c r="E273">
        <f t="shared" si="15"/>
        <v>24616.464840000004</v>
      </c>
    </row>
    <row r="274" spans="1:5" x14ac:dyDescent="0.2">
      <c r="A274" s="5">
        <v>38625</v>
      </c>
      <c r="B274">
        <v>4.7225999999999999</v>
      </c>
      <c r="C274" t="b">
        <f t="shared" si="13"/>
        <v>1</v>
      </c>
      <c r="D274" t="b">
        <f t="shared" si="14"/>
        <v>1</v>
      </c>
      <c r="E274">
        <f t="shared" si="15"/>
        <v>5212.4799999999996</v>
      </c>
    </row>
    <row r="275" spans="1:5" x14ac:dyDescent="0.2">
      <c r="A275" s="5">
        <v>38626</v>
      </c>
      <c r="B275">
        <v>4.7363999999999997</v>
      </c>
      <c r="C275" t="b">
        <f t="shared" si="13"/>
        <v>1</v>
      </c>
      <c r="D275" t="b">
        <f t="shared" si="14"/>
        <v>0</v>
      </c>
      <c r="E275">
        <f t="shared" si="15"/>
        <v>24688.390271999997</v>
      </c>
    </row>
    <row r="276" spans="1:5" x14ac:dyDescent="0.2">
      <c r="A276" s="5">
        <v>38627</v>
      </c>
      <c r="B276">
        <v>4.7458</v>
      </c>
      <c r="C276" t="b">
        <f t="shared" si="13"/>
        <v>1</v>
      </c>
      <c r="D276" t="b">
        <f t="shared" si="14"/>
        <v>1</v>
      </c>
      <c r="E276">
        <f t="shared" si="15"/>
        <v>5202.16</v>
      </c>
    </row>
    <row r="277" spans="1:5" x14ac:dyDescent="0.2">
      <c r="A277" s="5">
        <v>38628</v>
      </c>
      <c r="B277">
        <v>4.7614000000000001</v>
      </c>
      <c r="C277" t="b">
        <f t="shared" si="13"/>
        <v>1</v>
      </c>
      <c r="D277" t="b">
        <f t="shared" si="14"/>
        <v>0</v>
      </c>
      <c r="E277">
        <f t="shared" si="15"/>
        <v>24769.564623999999</v>
      </c>
    </row>
    <row r="278" spans="1:5" x14ac:dyDescent="0.2">
      <c r="A278" s="5">
        <v>38629</v>
      </c>
      <c r="B278">
        <v>4.7743000000000002</v>
      </c>
      <c r="C278" t="b">
        <f t="shared" si="13"/>
        <v>1</v>
      </c>
      <c r="D278" t="b">
        <f t="shared" si="14"/>
        <v>1</v>
      </c>
      <c r="E278">
        <f t="shared" si="15"/>
        <v>5188.1000000000004</v>
      </c>
    </row>
    <row r="279" spans="1:5" x14ac:dyDescent="0.2">
      <c r="A279" s="5">
        <v>38630</v>
      </c>
      <c r="B279">
        <v>4.8112000000000004</v>
      </c>
      <c r="C279" t="b">
        <f t="shared" si="13"/>
        <v>1</v>
      </c>
      <c r="D279" t="b">
        <f t="shared" si="14"/>
        <v>0</v>
      </c>
      <c r="E279">
        <f t="shared" si="15"/>
        <v>24960.986720000004</v>
      </c>
    </row>
    <row r="280" spans="1:5" x14ac:dyDescent="0.2">
      <c r="A280" s="5">
        <v>38631</v>
      </c>
      <c r="B280">
        <v>4.7807000000000004</v>
      </c>
      <c r="C280" t="b">
        <f t="shared" si="13"/>
        <v>0</v>
      </c>
      <c r="D280" t="b">
        <f t="shared" si="14"/>
        <v>1</v>
      </c>
      <c r="E280">
        <f t="shared" si="15"/>
        <v>5221.2</v>
      </c>
    </row>
    <row r="281" spans="1:5" x14ac:dyDescent="0.2">
      <c r="A281" s="5">
        <v>38632</v>
      </c>
      <c r="B281">
        <v>4.8257000000000003</v>
      </c>
      <c r="C281" t="b">
        <f t="shared" si="13"/>
        <v>1</v>
      </c>
      <c r="D281" t="b">
        <f t="shared" si="14"/>
        <v>0</v>
      </c>
      <c r="E281">
        <f t="shared" si="15"/>
        <v>25195.94484</v>
      </c>
    </row>
    <row r="282" spans="1:5" x14ac:dyDescent="0.2">
      <c r="A282" s="5">
        <v>38633</v>
      </c>
      <c r="B282">
        <v>4.8441000000000001</v>
      </c>
      <c r="C282" t="b">
        <f t="shared" si="13"/>
        <v>1</v>
      </c>
      <c r="D282" t="b">
        <f t="shared" si="14"/>
        <v>1</v>
      </c>
      <c r="E282">
        <f t="shared" si="15"/>
        <v>5201.37</v>
      </c>
    </row>
    <row r="283" spans="1:5" x14ac:dyDescent="0.2">
      <c r="A283" s="5">
        <v>38634</v>
      </c>
      <c r="B283">
        <v>4.8475000000000001</v>
      </c>
      <c r="C283" t="b">
        <f t="shared" si="13"/>
        <v>1</v>
      </c>
      <c r="D283" t="b">
        <f t="shared" si="14"/>
        <v>0</v>
      </c>
      <c r="E283">
        <f t="shared" si="15"/>
        <v>25213.641075</v>
      </c>
    </row>
    <row r="284" spans="1:5" x14ac:dyDescent="0.2">
      <c r="A284" s="5">
        <v>38635</v>
      </c>
      <c r="B284">
        <v>4.8297999999999996</v>
      </c>
      <c r="C284" t="b">
        <f t="shared" si="13"/>
        <v>0</v>
      </c>
      <c r="D284" t="b">
        <f t="shared" si="14"/>
        <v>1</v>
      </c>
      <c r="E284">
        <f t="shared" si="15"/>
        <v>5220.43</v>
      </c>
    </row>
    <row r="285" spans="1:5" x14ac:dyDescent="0.2">
      <c r="A285" s="5">
        <v>38636</v>
      </c>
      <c r="B285">
        <v>4.8537999999999997</v>
      </c>
      <c r="C285" t="b">
        <f t="shared" si="13"/>
        <v>1</v>
      </c>
      <c r="D285" t="b">
        <f t="shared" si="14"/>
        <v>0</v>
      </c>
      <c r="E285">
        <f t="shared" si="15"/>
        <v>25338.923134000001</v>
      </c>
    </row>
    <row r="286" spans="1:5" x14ac:dyDescent="0.2">
      <c r="A286" s="5">
        <v>38637</v>
      </c>
      <c r="B286">
        <v>4.8468</v>
      </c>
      <c r="C286" t="b">
        <f t="shared" si="13"/>
        <v>0</v>
      </c>
      <c r="D286" t="b">
        <f t="shared" si="14"/>
        <v>1</v>
      </c>
      <c r="E286">
        <f t="shared" si="15"/>
        <v>5227.97</v>
      </c>
    </row>
    <row r="287" spans="1:5" x14ac:dyDescent="0.2">
      <c r="A287" s="5">
        <v>38638</v>
      </c>
      <c r="B287">
        <v>4.8628</v>
      </c>
      <c r="C287" t="b">
        <f t="shared" si="13"/>
        <v>1</v>
      </c>
      <c r="D287" t="b">
        <f t="shared" si="14"/>
        <v>0</v>
      </c>
      <c r="E287">
        <f t="shared" si="15"/>
        <v>25422.572516</v>
      </c>
    </row>
    <row r="288" spans="1:5" x14ac:dyDescent="0.2">
      <c r="A288" s="5">
        <v>38639</v>
      </c>
      <c r="B288">
        <v>4.8541999999999996</v>
      </c>
      <c r="C288" t="b">
        <f t="shared" si="13"/>
        <v>0</v>
      </c>
      <c r="D288" t="b">
        <f t="shared" si="14"/>
        <v>1</v>
      </c>
      <c r="E288">
        <f t="shared" si="15"/>
        <v>5237.2299999999996</v>
      </c>
    </row>
    <row r="289" spans="1:5" x14ac:dyDescent="0.2">
      <c r="A289" s="5">
        <v>38640</v>
      </c>
      <c r="B289">
        <v>4.8662999999999998</v>
      </c>
      <c r="C289" t="b">
        <f t="shared" si="13"/>
        <v>1</v>
      </c>
      <c r="D289" t="b">
        <f t="shared" si="14"/>
        <v>0</v>
      </c>
      <c r="E289">
        <f t="shared" si="15"/>
        <v>25485.932348999999</v>
      </c>
    </row>
    <row r="290" spans="1:5" x14ac:dyDescent="0.2">
      <c r="A290" s="5">
        <v>38641</v>
      </c>
      <c r="B290">
        <v>4.8840000000000003</v>
      </c>
      <c r="C290" t="b">
        <f t="shared" si="13"/>
        <v>1</v>
      </c>
      <c r="D290" t="b">
        <f t="shared" si="14"/>
        <v>1</v>
      </c>
      <c r="E290">
        <f t="shared" si="15"/>
        <v>5218.25</v>
      </c>
    </row>
    <row r="291" spans="1:5" x14ac:dyDescent="0.2">
      <c r="A291" s="5">
        <v>38642</v>
      </c>
      <c r="B291">
        <v>4.8875999999999999</v>
      </c>
      <c r="C291" t="b">
        <f t="shared" si="13"/>
        <v>1</v>
      </c>
      <c r="D291" t="b">
        <f t="shared" si="14"/>
        <v>0</v>
      </c>
      <c r="E291">
        <f t="shared" si="15"/>
        <v>25504.718700000001</v>
      </c>
    </row>
    <row r="292" spans="1:5" x14ac:dyDescent="0.2">
      <c r="A292" s="5">
        <v>38643</v>
      </c>
      <c r="B292">
        <v>4.9059999999999997</v>
      </c>
      <c r="C292" t="b">
        <f t="shared" si="13"/>
        <v>1</v>
      </c>
      <c r="D292" t="b">
        <f t="shared" si="14"/>
        <v>1</v>
      </c>
      <c r="E292">
        <f t="shared" si="15"/>
        <v>5198.68</v>
      </c>
    </row>
    <row r="293" spans="1:5" x14ac:dyDescent="0.2">
      <c r="A293" s="5">
        <v>38644</v>
      </c>
      <c r="B293">
        <v>4.8955000000000002</v>
      </c>
      <c r="C293" t="b">
        <f t="shared" si="13"/>
        <v>0</v>
      </c>
      <c r="D293" t="b">
        <f t="shared" si="14"/>
        <v>1</v>
      </c>
      <c r="E293">
        <f t="shared" si="15"/>
        <v>5198.68</v>
      </c>
    </row>
    <row r="294" spans="1:5" x14ac:dyDescent="0.2">
      <c r="A294" s="5">
        <v>38645</v>
      </c>
      <c r="B294">
        <v>4.8695000000000004</v>
      </c>
      <c r="C294" t="b">
        <f t="shared" si="13"/>
        <v>0</v>
      </c>
      <c r="D294" t="b">
        <f t="shared" si="14"/>
        <v>1</v>
      </c>
      <c r="E294">
        <f t="shared" si="15"/>
        <v>5198.68</v>
      </c>
    </row>
    <row r="295" spans="1:5" x14ac:dyDescent="0.2">
      <c r="A295" s="5">
        <v>38646</v>
      </c>
      <c r="B295">
        <v>4.8837000000000002</v>
      </c>
      <c r="C295" t="b">
        <f t="shared" si="13"/>
        <v>1</v>
      </c>
      <c r="D295" t="b">
        <f t="shared" si="14"/>
        <v>0</v>
      </c>
      <c r="E295">
        <f t="shared" si="15"/>
        <v>25388.793516000002</v>
      </c>
    </row>
    <row r="296" spans="1:5" x14ac:dyDescent="0.2">
      <c r="A296" s="5">
        <v>38647</v>
      </c>
      <c r="B296">
        <v>4.8365999999999998</v>
      </c>
      <c r="C296" t="b">
        <f t="shared" si="13"/>
        <v>0</v>
      </c>
      <c r="D296" t="b">
        <f t="shared" si="14"/>
        <v>1</v>
      </c>
      <c r="E296">
        <f t="shared" si="15"/>
        <v>5249.31</v>
      </c>
    </row>
    <row r="297" spans="1:5" x14ac:dyDescent="0.2">
      <c r="A297" s="5">
        <v>38648</v>
      </c>
      <c r="B297">
        <v>4.8746</v>
      </c>
      <c r="C297" t="b">
        <f t="shared" si="13"/>
        <v>1</v>
      </c>
      <c r="D297" t="b">
        <f t="shared" si="14"/>
        <v>0</v>
      </c>
      <c r="E297">
        <f t="shared" si="15"/>
        <v>25588.286526000004</v>
      </c>
    </row>
    <row r="298" spans="1:5" x14ac:dyDescent="0.2">
      <c r="A298" s="5">
        <v>38649</v>
      </c>
      <c r="B298">
        <v>4.9149000000000003</v>
      </c>
      <c r="C298" t="b">
        <f t="shared" si="13"/>
        <v>1</v>
      </c>
      <c r="D298" t="b">
        <f t="shared" si="14"/>
        <v>1</v>
      </c>
      <c r="E298">
        <f t="shared" si="15"/>
        <v>5206.2700000000004</v>
      </c>
    </row>
    <row r="299" spans="1:5" x14ac:dyDescent="0.2">
      <c r="A299" s="5">
        <v>38650</v>
      </c>
      <c r="B299">
        <v>4.8688000000000002</v>
      </c>
      <c r="C299" t="b">
        <f t="shared" si="13"/>
        <v>0</v>
      </c>
      <c r="D299" t="b">
        <f t="shared" si="14"/>
        <v>1</v>
      </c>
      <c r="E299">
        <f t="shared" si="15"/>
        <v>5206.2700000000004</v>
      </c>
    </row>
    <row r="300" spans="1:5" x14ac:dyDescent="0.2">
      <c r="A300" s="5">
        <v>38651</v>
      </c>
      <c r="B300">
        <v>4.8467000000000002</v>
      </c>
      <c r="C300" t="b">
        <f t="shared" si="13"/>
        <v>0</v>
      </c>
      <c r="D300" t="b">
        <f t="shared" si="14"/>
        <v>1</v>
      </c>
      <c r="E300">
        <f t="shared" si="15"/>
        <v>5206.2700000000004</v>
      </c>
    </row>
    <row r="301" spans="1:5" x14ac:dyDescent="0.2">
      <c r="A301" s="5">
        <v>38652</v>
      </c>
      <c r="B301">
        <v>4.8198999999999996</v>
      </c>
      <c r="C301" t="b">
        <f t="shared" si="13"/>
        <v>0</v>
      </c>
      <c r="D301" t="b">
        <f t="shared" si="14"/>
        <v>1</v>
      </c>
      <c r="E301">
        <f t="shared" si="15"/>
        <v>5206.2700000000004</v>
      </c>
    </row>
    <row r="302" spans="1:5" x14ac:dyDescent="0.2">
      <c r="A302" s="5">
        <v>38653</v>
      </c>
      <c r="B302">
        <v>4.8261000000000003</v>
      </c>
      <c r="C302" t="b">
        <f t="shared" si="13"/>
        <v>1</v>
      </c>
      <c r="D302" t="b">
        <f t="shared" si="14"/>
        <v>0</v>
      </c>
      <c r="E302">
        <f t="shared" si="15"/>
        <v>25125.979647000004</v>
      </c>
    </row>
    <row r="303" spans="1:5" x14ac:dyDescent="0.2">
      <c r="A303" s="5">
        <v>38654</v>
      </c>
      <c r="B303">
        <v>4.8150000000000004</v>
      </c>
      <c r="C303" t="b">
        <f t="shared" si="13"/>
        <v>0</v>
      </c>
      <c r="D303" t="b">
        <f t="shared" si="14"/>
        <v>1</v>
      </c>
      <c r="E303">
        <f t="shared" si="15"/>
        <v>5218.2700000000004</v>
      </c>
    </row>
    <row r="304" spans="1:5" x14ac:dyDescent="0.2">
      <c r="A304" s="5">
        <v>38655</v>
      </c>
      <c r="B304">
        <v>4.7971000000000004</v>
      </c>
      <c r="C304" t="b">
        <f t="shared" si="13"/>
        <v>0</v>
      </c>
      <c r="D304" t="b">
        <f t="shared" si="14"/>
        <v>1</v>
      </c>
      <c r="E304">
        <f t="shared" si="15"/>
        <v>5218.2700000000004</v>
      </c>
    </row>
    <row r="305" spans="1:5" x14ac:dyDescent="0.2">
      <c r="A305" s="5">
        <v>38656</v>
      </c>
      <c r="B305">
        <v>4.7537000000000003</v>
      </c>
      <c r="C305" t="b">
        <f t="shared" si="13"/>
        <v>0</v>
      </c>
      <c r="D305" t="b">
        <f t="shared" si="14"/>
        <v>1</v>
      </c>
      <c r="E305">
        <f t="shared" si="15"/>
        <v>5218.2700000000004</v>
      </c>
    </row>
    <row r="306" spans="1:5" x14ac:dyDescent="0.2">
      <c r="A306" s="5">
        <v>38657</v>
      </c>
      <c r="B306">
        <v>4.7744</v>
      </c>
      <c r="C306" t="b">
        <f t="shared" si="13"/>
        <v>1</v>
      </c>
      <c r="D306" t="b">
        <f t="shared" si="14"/>
        <v>0</v>
      </c>
      <c r="E306">
        <f t="shared" si="15"/>
        <v>24914.108288000003</v>
      </c>
    </row>
    <row r="307" spans="1:5" x14ac:dyDescent="0.2">
      <c r="A307" s="5">
        <v>38658</v>
      </c>
      <c r="B307">
        <v>4.7645999999999997</v>
      </c>
      <c r="C307" t="b">
        <f t="shared" si="13"/>
        <v>0</v>
      </c>
      <c r="D307" t="b">
        <f t="shared" si="14"/>
        <v>1</v>
      </c>
      <c r="E307">
        <f t="shared" si="15"/>
        <v>5229</v>
      </c>
    </row>
    <row r="308" spans="1:5" x14ac:dyDescent="0.2">
      <c r="A308" s="5">
        <v>38659</v>
      </c>
      <c r="B308">
        <v>4.7397999999999998</v>
      </c>
      <c r="C308" t="b">
        <f t="shared" si="13"/>
        <v>0</v>
      </c>
      <c r="D308" t="b">
        <f t="shared" si="14"/>
        <v>1</v>
      </c>
      <c r="E308">
        <f t="shared" si="15"/>
        <v>5229</v>
      </c>
    </row>
    <row r="309" spans="1:5" x14ac:dyDescent="0.2">
      <c r="A309" s="5">
        <v>38660</v>
      </c>
      <c r="B309">
        <v>4.7192999999999996</v>
      </c>
      <c r="C309" t="b">
        <f t="shared" si="13"/>
        <v>0</v>
      </c>
      <c r="D309" t="b">
        <f t="shared" si="14"/>
        <v>1</v>
      </c>
      <c r="E309">
        <f t="shared" si="15"/>
        <v>5229</v>
      </c>
    </row>
    <row r="310" spans="1:5" x14ac:dyDescent="0.2">
      <c r="A310" s="5">
        <v>38661</v>
      </c>
      <c r="B310">
        <v>4.7286000000000001</v>
      </c>
      <c r="C310" t="b">
        <f t="shared" si="13"/>
        <v>1</v>
      </c>
      <c r="D310" t="b">
        <f t="shared" si="14"/>
        <v>0</v>
      </c>
      <c r="E310">
        <f t="shared" si="15"/>
        <v>24725.849399999999</v>
      </c>
    </row>
    <row r="311" spans="1:5" x14ac:dyDescent="0.2">
      <c r="A311" s="5">
        <v>38662</v>
      </c>
      <c r="B311">
        <v>4.7404999999999999</v>
      </c>
      <c r="C311" t="b">
        <f t="shared" si="13"/>
        <v>1</v>
      </c>
      <c r="D311" t="b">
        <f t="shared" si="14"/>
        <v>1</v>
      </c>
      <c r="E311">
        <f t="shared" si="15"/>
        <v>5215.87</v>
      </c>
    </row>
    <row r="312" spans="1:5" x14ac:dyDescent="0.2">
      <c r="A312" s="5">
        <v>38663</v>
      </c>
      <c r="B312">
        <v>4.7343000000000002</v>
      </c>
      <c r="C312" t="b">
        <f t="shared" si="13"/>
        <v>0</v>
      </c>
      <c r="D312" t="b">
        <f t="shared" si="14"/>
        <v>1</v>
      </c>
      <c r="E312">
        <f t="shared" si="15"/>
        <v>5215.87</v>
      </c>
    </row>
    <row r="313" spans="1:5" x14ac:dyDescent="0.2">
      <c r="A313" s="5">
        <v>38664</v>
      </c>
      <c r="B313">
        <v>4.7229999999999999</v>
      </c>
      <c r="C313" t="b">
        <f t="shared" si="13"/>
        <v>0</v>
      </c>
      <c r="D313" t="b">
        <f t="shared" si="14"/>
        <v>1</v>
      </c>
      <c r="E313">
        <f t="shared" si="15"/>
        <v>5215.87</v>
      </c>
    </row>
    <row r="314" spans="1:5" x14ac:dyDescent="0.2">
      <c r="A314" s="5">
        <v>38665</v>
      </c>
      <c r="B314">
        <v>4.7016</v>
      </c>
      <c r="C314" t="b">
        <f t="shared" si="13"/>
        <v>0</v>
      </c>
      <c r="D314" t="b">
        <f t="shared" si="14"/>
        <v>1</v>
      </c>
      <c r="E314">
        <f t="shared" si="15"/>
        <v>5215.87</v>
      </c>
    </row>
    <row r="315" spans="1:5" x14ac:dyDescent="0.2">
      <c r="A315" s="5">
        <v>38666</v>
      </c>
      <c r="B315">
        <v>4.702</v>
      </c>
      <c r="C315" t="b">
        <f t="shared" si="13"/>
        <v>1</v>
      </c>
      <c r="D315" t="b">
        <f t="shared" si="14"/>
        <v>0</v>
      </c>
      <c r="E315">
        <f t="shared" si="15"/>
        <v>24525.02074</v>
      </c>
    </row>
    <row r="316" spans="1:5" x14ac:dyDescent="0.2">
      <c r="A316" s="5">
        <v>38667</v>
      </c>
      <c r="B316">
        <v>4.7042999999999999</v>
      </c>
      <c r="C316" t="b">
        <f t="shared" si="13"/>
        <v>1</v>
      </c>
      <c r="D316" t="b">
        <f t="shared" si="14"/>
        <v>1</v>
      </c>
      <c r="E316">
        <f t="shared" si="15"/>
        <v>5213.32</v>
      </c>
    </row>
    <row r="317" spans="1:5" x14ac:dyDescent="0.2">
      <c r="A317" s="5">
        <v>38668</v>
      </c>
      <c r="B317">
        <v>4.7584999999999997</v>
      </c>
      <c r="C317" t="b">
        <f t="shared" si="13"/>
        <v>1</v>
      </c>
      <c r="D317" t="b">
        <f t="shared" si="14"/>
        <v>0</v>
      </c>
      <c r="E317">
        <f t="shared" si="15"/>
        <v>24807.583219999997</v>
      </c>
    </row>
    <row r="318" spans="1:5" x14ac:dyDescent="0.2">
      <c r="A318" s="5">
        <v>38669</v>
      </c>
      <c r="B318">
        <v>4.7324000000000002</v>
      </c>
      <c r="C318" t="b">
        <f t="shared" si="13"/>
        <v>0</v>
      </c>
      <c r="D318" t="b">
        <f t="shared" si="14"/>
        <v>1</v>
      </c>
      <c r="E318">
        <f t="shared" si="15"/>
        <v>5242.07</v>
      </c>
    </row>
    <row r="319" spans="1:5" x14ac:dyDescent="0.2">
      <c r="A319" s="5">
        <v>38670</v>
      </c>
      <c r="B319">
        <v>4.7385999999999999</v>
      </c>
      <c r="C319" t="b">
        <f t="shared" si="13"/>
        <v>1</v>
      </c>
      <c r="D319" t="b">
        <f t="shared" si="14"/>
        <v>0</v>
      </c>
      <c r="E319">
        <f t="shared" si="15"/>
        <v>24840.072902</v>
      </c>
    </row>
    <row r="320" spans="1:5" x14ac:dyDescent="0.2">
      <c r="A320" s="5">
        <v>38671</v>
      </c>
      <c r="B320">
        <v>4.7454999999999998</v>
      </c>
      <c r="C320" t="b">
        <f t="shared" si="13"/>
        <v>1</v>
      </c>
      <c r="D320" t="b">
        <f t="shared" si="14"/>
        <v>1</v>
      </c>
      <c r="E320">
        <f t="shared" si="15"/>
        <v>5234.45</v>
      </c>
    </row>
    <row r="321" spans="1:5" x14ac:dyDescent="0.2">
      <c r="A321" s="5">
        <v>38672</v>
      </c>
      <c r="B321">
        <v>4.7527999999999997</v>
      </c>
      <c r="C321" t="b">
        <f t="shared" si="13"/>
        <v>1</v>
      </c>
      <c r="D321" t="b">
        <f t="shared" si="14"/>
        <v>0</v>
      </c>
      <c r="E321">
        <f t="shared" si="15"/>
        <v>24878.293959999999</v>
      </c>
    </row>
    <row r="322" spans="1:5" x14ac:dyDescent="0.2">
      <c r="A322" s="5">
        <v>38673</v>
      </c>
      <c r="B322">
        <v>4.7508999999999997</v>
      </c>
      <c r="C322" t="b">
        <f t="shared" si="13"/>
        <v>0</v>
      </c>
      <c r="D322" t="b">
        <f t="shared" si="14"/>
        <v>1</v>
      </c>
      <c r="E322">
        <f t="shared" si="15"/>
        <v>5236.54</v>
      </c>
    </row>
    <row r="323" spans="1:5" x14ac:dyDescent="0.2">
      <c r="A323" s="5">
        <v>38674</v>
      </c>
      <c r="B323">
        <v>4.7194000000000003</v>
      </c>
      <c r="C323" t="b">
        <f t="shared" si="13"/>
        <v>0</v>
      </c>
      <c r="D323" t="b">
        <f t="shared" si="14"/>
        <v>1</v>
      </c>
      <c r="E323">
        <f t="shared" si="15"/>
        <v>5236.54</v>
      </c>
    </row>
    <row r="324" spans="1:5" x14ac:dyDescent="0.2">
      <c r="A324" s="5">
        <v>38675</v>
      </c>
      <c r="B324">
        <v>4.7272999999999996</v>
      </c>
      <c r="C324" t="b">
        <f t="shared" ref="C324:C366" si="16">B323&lt;B324</f>
        <v>1</v>
      </c>
      <c r="D324" t="b">
        <f t="shared" ref="D324:D366" si="17">IF(D323,IF(C324,FALSE,TRUE),TRUE)</f>
        <v>0</v>
      </c>
      <c r="E324">
        <f t="shared" si="15"/>
        <v>24754.695541999998</v>
      </c>
    </row>
    <row r="325" spans="1:5" x14ac:dyDescent="0.2">
      <c r="A325" s="5">
        <v>38676</v>
      </c>
      <c r="B325">
        <v>4.7180999999999997</v>
      </c>
      <c r="C325" t="b">
        <f t="shared" si="16"/>
        <v>0</v>
      </c>
      <c r="D325" t="b">
        <f t="shared" si="17"/>
        <v>1</v>
      </c>
      <c r="E325">
        <f t="shared" si="15"/>
        <v>5246.75</v>
      </c>
    </row>
    <row r="326" spans="1:5" x14ac:dyDescent="0.2">
      <c r="A326" s="5">
        <v>38677</v>
      </c>
      <c r="B326">
        <v>4.7397</v>
      </c>
      <c r="C326" t="b">
        <f t="shared" si="16"/>
        <v>1</v>
      </c>
      <c r="D326" t="b">
        <f t="shared" si="17"/>
        <v>0</v>
      </c>
      <c r="E326">
        <f t="shared" si="15"/>
        <v>24868.020974999999</v>
      </c>
    </row>
    <row r="327" spans="1:5" x14ac:dyDescent="0.2">
      <c r="A327" s="5">
        <v>38678</v>
      </c>
      <c r="B327">
        <v>4.7289000000000003</v>
      </c>
      <c r="C327" t="b">
        <f t="shared" si="16"/>
        <v>0</v>
      </c>
      <c r="D327" t="b">
        <f t="shared" si="17"/>
        <v>1</v>
      </c>
      <c r="E327">
        <f t="shared" ref="E327:E366" si="18">IF(D326,IF(C327,E326*B327,E326),ROUND(E326/B327,2))</f>
        <v>5258.73</v>
      </c>
    </row>
    <row r="328" spans="1:5" x14ac:dyDescent="0.2">
      <c r="A328" s="5">
        <v>38679</v>
      </c>
      <c r="B328">
        <v>4.7332999999999998</v>
      </c>
      <c r="C328" t="b">
        <f t="shared" si="16"/>
        <v>1</v>
      </c>
      <c r="D328" t="b">
        <f t="shared" si="17"/>
        <v>0</v>
      </c>
      <c r="E328">
        <f t="shared" si="18"/>
        <v>24891.146708999997</v>
      </c>
    </row>
    <row r="329" spans="1:5" x14ac:dyDescent="0.2">
      <c r="A329" s="5">
        <v>38680</v>
      </c>
      <c r="B329">
        <v>4.7441000000000004</v>
      </c>
      <c r="C329" t="b">
        <f t="shared" si="16"/>
        <v>1</v>
      </c>
      <c r="D329" t="b">
        <f t="shared" si="17"/>
        <v>1</v>
      </c>
      <c r="E329">
        <f t="shared" si="18"/>
        <v>5246.76</v>
      </c>
    </row>
    <row r="330" spans="1:5" x14ac:dyDescent="0.2">
      <c r="A330" s="5">
        <v>38681</v>
      </c>
      <c r="B330">
        <v>4.8139000000000003</v>
      </c>
      <c r="C330" t="b">
        <f t="shared" si="16"/>
        <v>1</v>
      </c>
      <c r="D330" t="b">
        <f t="shared" si="17"/>
        <v>0</v>
      </c>
      <c r="E330">
        <f t="shared" si="18"/>
        <v>25257.377964000003</v>
      </c>
    </row>
    <row r="331" spans="1:5" x14ac:dyDescent="0.2">
      <c r="A331" s="5">
        <v>38682</v>
      </c>
      <c r="B331">
        <v>4.7893999999999997</v>
      </c>
      <c r="C331" t="b">
        <f t="shared" si="16"/>
        <v>0</v>
      </c>
      <c r="D331" t="b">
        <f t="shared" si="17"/>
        <v>1</v>
      </c>
      <c r="E331">
        <f t="shared" si="18"/>
        <v>5273.6</v>
      </c>
    </row>
    <row r="332" spans="1:5" x14ac:dyDescent="0.2">
      <c r="A332" s="5">
        <v>38683</v>
      </c>
      <c r="B332">
        <v>4.7759</v>
      </c>
      <c r="C332" t="b">
        <f t="shared" si="16"/>
        <v>0</v>
      </c>
      <c r="D332" t="b">
        <f t="shared" si="17"/>
        <v>1</v>
      </c>
      <c r="E332">
        <f t="shared" si="18"/>
        <v>5273.6</v>
      </c>
    </row>
    <row r="333" spans="1:5" x14ac:dyDescent="0.2">
      <c r="A333" s="5">
        <v>38684</v>
      </c>
      <c r="B333">
        <v>4.7744</v>
      </c>
      <c r="C333" t="b">
        <f t="shared" si="16"/>
        <v>0</v>
      </c>
      <c r="D333" t="b">
        <f t="shared" si="17"/>
        <v>1</v>
      </c>
      <c r="E333">
        <f t="shared" si="18"/>
        <v>5273.6</v>
      </c>
    </row>
    <row r="334" spans="1:5" x14ac:dyDescent="0.2">
      <c r="A334" s="5">
        <v>38685</v>
      </c>
      <c r="B334">
        <v>4.7435999999999998</v>
      </c>
      <c r="C334" t="b">
        <f t="shared" si="16"/>
        <v>0</v>
      </c>
      <c r="D334" t="b">
        <f t="shared" si="17"/>
        <v>1</v>
      </c>
      <c r="E334">
        <f t="shared" si="18"/>
        <v>5273.6</v>
      </c>
    </row>
    <row r="335" spans="1:5" x14ac:dyDescent="0.2">
      <c r="A335" s="5">
        <v>38686</v>
      </c>
      <c r="B335">
        <v>4.7496999999999998</v>
      </c>
      <c r="C335" t="b">
        <f t="shared" si="16"/>
        <v>1</v>
      </c>
      <c r="D335" t="b">
        <f t="shared" si="17"/>
        <v>0</v>
      </c>
      <c r="E335">
        <f t="shared" si="18"/>
        <v>25048.017920000002</v>
      </c>
    </row>
    <row r="336" spans="1:5" x14ac:dyDescent="0.2">
      <c r="A336" s="5">
        <v>38687</v>
      </c>
      <c r="B336">
        <v>4.7648000000000001</v>
      </c>
      <c r="C336" t="b">
        <f t="shared" si="16"/>
        <v>1</v>
      </c>
      <c r="D336" t="b">
        <f t="shared" si="17"/>
        <v>1</v>
      </c>
      <c r="E336">
        <f t="shared" si="18"/>
        <v>5256.89</v>
      </c>
    </row>
    <row r="337" spans="1:5" x14ac:dyDescent="0.2">
      <c r="A337" s="5">
        <v>38688</v>
      </c>
      <c r="B337">
        <v>4.7595000000000001</v>
      </c>
      <c r="C337" t="b">
        <f t="shared" si="16"/>
        <v>0</v>
      </c>
      <c r="D337" t="b">
        <f t="shared" si="17"/>
        <v>1</v>
      </c>
      <c r="E337">
        <f t="shared" si="18"/>
        <v>5256.89</v>
      </c>
    </row>
    <row r="338" spans="1:5" x14ac:dyDescent="0.2">
      <c r="A338" s="5">
        <v>38689</v>
      </c>
      <c r="B338">
        <v>4.7690000000000001</v>
      </c>
      <c r="C338" t="b">
        <f t="shared" si="16"/>
        <v>1</v>
      </c>
      <c r="D338" t="b">
        <f t="shared" si="17"/>
        <v>0</v>
      </c>
      <c r="E338">
        <f t="shared" si="18"/>
        <v>25070.108410000001</v>
      </c>
    </row>
    <row r="339" spans="1:5" x14ac:dyDescent="0.2">
      <c r="A339" s="5">
        <v>38690</v>
      </c>
      <c r="B339">
        <v>4.7805</v>
      </c>
      <c r="C339" t="b">
        <f t="shared" si="16"/>
        <v>1</v>
      </c>
      <c r="D339" t="b">
        <f t="shared" si="17"/>
        <v>1</v>
      </c>
      <c r="E339">
        <f t="shared" si="18"/>
        <v>5244.24</v>
      </c>
    </row>
    <row r="340" spans="1:5" x14ac:dyDescent="0.2">
      <c r="A340" s="5">
        <v>38691</v>
      </c>
      <c r="B340">
        <v>4.7980999999999998</v>
      </c>
      <c r="C340" t="b">
        <f t="shared" si="16"/>
        <v>1</v>
      </c>
      <c r="D340" t="b">
        <f t="shared" si="17"/>
        <v>0</v>
      </c>
      <c r="E340">
        <f t="shared" si="18"/>
        <v>25162.387943999998</v>
      </c>
    </row>
    <row r="341" spans="1:5" x14ac:dyDescent="0.2">
      <c r="A341" s="5">
        <v>38692</v>
      </c>
      <c r="B341">
        <v>4.8121999999999998</v>
      </c>
      <c r="C341" t="b">
        <f t="shared" si="16"/>
        <v>1</v>
      </c>
      <c r="D341" t="b">
        <f t="shared" si="17"/>
        <v>1</v>
      </c>
      <c r="E341">
        <f t="shared" si="18"/>
        <v>5228.87</v>
      </c>
    </row>
    <row r="342" spans="1:5" x14ac:dyDescent="0.2">
      <c r="A342" s="5">
        <v>38693</v>
      </c>
      <c r="B342">
        <v>4.7805</v>
      </c>
      <c r="C342" t="b">
        <f t="shared" si="16"/>
        <v>0</v>
      </c>
      <c r="D342" t="b">
        <f t="shared" si="17"/>
        <v>1</v>
      </c>
      <c r="E342">
        <f t="shared" si="18"/>
        <v>5228.87</v>
      </c>
    </row>
    <row r="343" spans="1:5" x14ac:dyDescent="0.2">
      <c r="A343" s="5">
        <v>38694</v>
      </c>
      <c r="B343">
        <v>4.7462999999999997</v>
      </c>
      <c r="C343" t="b">
        <f t="shared" si="16"/>
        <v>0</v>
      </c>
      <c r="D343" t="b">
        <f t="shared" si="17"/>
        <v>1</v>
      </c>
      <c r="E343">
        <f t="shared" si="18"/>
        <v>5228.87</v>
      </c>
    </row>
    <row r="344" spans="1:5" x14ac:dyDescent="0.2">
      <c r="A344" s="5">
        <v>38695</v>
      </c>
      <c r="B344">
        <v>4.7693000000000003</v>
      </c>
      <c r="C344" t="b">
        <f t="shared" si="16"/>
        <v>1</v>
      </c>
      <c r="D344" t="b">
        <f t="shared" si="17"/>
        <v>0</v>
      </c>
      <c r="E344">
        <f t="shared" si="18"/>
        <v>24938.049691</v>
      </c>
    </row>
    <row r="345" spans="1:5" x14ac:dyDescent="0.2">
      <c r="A345" s="5">
        <v>38696</v>
      </c>
      <c r="B345">
        <v>4.7454000000000001</v>
      </c>
      <c r="C345" t="b">
        <f t="shared" si="16"/>
        <v>0</v>
      </c>
      <c r="D345" t="b">
        <f t="shared" si="17"/>
        <v>1</v>
      </c>
      <c r="E345">
        <f t="shared" si="18"/>
        <v>5255.2</v>
      </c>
    </row>
    <row r="346" spans="1:5" x14ac:dyDescent="0.2">
      <c r="A346" s="5">
        <v>38697</v>
      </c>
      <c r="B346">
        <v>4.7538</v>
      </c>
      <c r="C346" t="b">
        <f t="shared" si="16"/>
        <v>1</v>
      </c>
      <c r="D346" t="b">
        <f t="shared" si="17"/>
        <v>0</v>
      </c>
      <c r="E346">
        <f t="shared" si="18"/>
        <v>24982.169760000001</v>
      </c>
    </row>
    <row r="347" spans="1:5" x14ac:dyDescent="0.2">
      <c r="A347" s="5">
        <v>38698</v>
      </c>
      <c r="B347">
        <v>4.7473999999999998</v>
      </c>
      <c r="C347" t="b">
        <f t="shared" si="16"/>
        <v>0</v>
      </c>
      <c r="D347" t="b">
        <f t="shared" si="17"/>
        <v>1</v>
      </c>
      <c r="E347">
        <f t="shared" si="18"/>
        <v>5262.28</v>
      </c>
    </row>
    <row r="348" spans="1:5" x14ac:dyDescent="0.2">
      <c r="A348" s="5">
        <v>38699</v>
      </c>
      <c r="B348">
        <v>4.7618</v>
      </c>
      <c r="C348" t="b">
        <f t="shared" si="16"/>
        <v>1</v>
      </c>
      <c r="D348" t="b">
        <f t="shared" si="17"/>
        <v>0</v>
      </c>
      <c r="E348">
        <f t="shared" si="18"/>
        <v>25057.924904</v>
      </c>
    </row>
    <row r="349" spans="1:5" x14ac:dyDescent="0.2">
      <c r="A349" s="5">
        <v>38700</v>
      </c>
      <c r="B349">
        <v>4.7850999999999999</v>
      </c>
      <c r="C349" t="b">
        <f t="shared" si="16"/>
        <v>1</v>
      </c>
      <c r="D349" t="b">
        <f t="shared" si="17"/>
        <v>1</v>
      </c>
      <c r="E349">
        <f t="shared" si="18"/>
        <v>5236.66</v>
      </c>
    </row>
    <row r="350" spans="1:5" x14ac:dyDescent="0.2">
      <c r="A350" s="5">
        <v>38701</v>
      </c>
      <c r="B350">
        <v>4.7592999999999996</v>
      </c>
      <c r="C350" t="b">
        <f t="shared" si="16"/>
        <v>0</v>
      </c>
      <c r="D350" t="b">
        <f t="shared" si="17"/>
        <v>1</v>
      </c>
      <c r="E350">
        <f t="shared" si="18"/>
        <v>5236.66</v>
      </c>
    </row>
    <row r="351" spans="1:5" x14ac:dyDescent="0.2">
      <c r="A351" s="5">
        <v>38702</v>
      </c>
      <c r="B351">
        <v>4.7857000000000003</v>
      </c>
      <c r="C351" t="b">
        <f t="shared" si="16"/>
        <v>1</v>
      </c>
      <c r="D351" t="b">
        <f t="shared" si="17"/>
        <v>0</v>
      </c>
      <c r="E351">
        <f t="shared" si="18"/>
        <v>25061.083762000002</v>
      </c>
    </row>
    <row r="352" spans="1:5" x14ac:dyDescent="0.2">
      <c r="A352" s="5">
        <v>38703</v>
      </c>
      <c r="B352">
        <v>4.7530000000000001</v>
      </c>
      <c r="C352" t="b">
        <f t="shared" si="16"/>
        <v>0</v>
      </c>
      <c r="D352" t="b">
        <f t="shared" si="17"/>
        <v>1</v>
      </c>
      <c r="E352">
        <f t="shared" si="18"/>
        <v>5272.69</v>
      </c>
    </row>
    <row r="353" spans="1:5" x14ac:dyDescent="0.2">
      <c r="A353" s="5">
        <v>38704</v>
      </c>
      <c r="B353">
        <v>4.7098000000000004</v>
      </c>
      <c r="C353" t="b">
        <f t="shared" si="16"/>
        <v>0</v>
      </c>
      <c r="D353" t="b">
        <f t="shared" si="17"/>
        <v>1</v>
      </c>
      <c r="E353">
        <f t="shared" si="18"/>
        <v>5272.69</v>
      </c>
    </row>
    <row r="354" spans="1:5" x14ac:dyDescent="0.2">
      <c r="A354" s="5">
        <v>38705</v>
      </c>
      <c r="B354">
        <v>4.6920999999999999</v>
      </c>
      <c r="C354" t="b">
        <f t="shared" si="16"/>
        <v>0</v>
      </c>
      <c r="D354" t="b">
        <f t="shared" si="17"/>
        <v>1</v>
      </c>
      <c r="E354">
        <f t="shared" si="18"/>
        <v>5272.69</v>
      </c>
    </row>
    <row r="355" spans="1:5" x14ac:dyDescent="0.2">
      <c r="A355" s="5">
        <v>38706</v>
      </c>
      <c r="B355">
        <v>4.6939000000000002</v>
      </c>
      <c r="C355" t="b">
        <f t="shared" si="16"/>
        <v>1</v>
      </c>
      <c r="D355" t="b">
        <f t="shared" si="17"/>
        <v>0</v>
      </c>
      <c r="E355">
        <f t="shared" si="18"/>
        <v>24749.479590999999</v>
      </c>
    </row>
    <row r="356" spans="1:5" x14ac:dyDescent="0.2">
      <c r="A356" s="5">
        <v>38707</v>
      </c>
      <c r="B356">
        <v>4.6649000000000003</v>
      </c>
      <c r="C356" t="b">
        <f t="shared" si="16"/>
        <v>0</v>
      </c>
      <c r="D356" t="b">
        <f t="shared" si="17"/>
        <v>1</v>
      </c>
      <c r="E356">
        <f t="shared" si="18"/>
        <v>5305.47</v>
      </c>
    </row>
    <row r="357" spans="1:5" x14ac:dyDescent="0.2">
      <c r="A357" s="5">
        <v>38708</v>
      </c>
      <c r="B357">
        <v>4.6425999999999998</v>
      </c>
      <c r="C357" t="b">
        <f t="shared" si="16"/>
        <v>0</v>
      </c>
      <c r="D357" t="b">
        <f t="shared" si="17"/>
        <v>1</v>
      </c>
      <c r="E357">
        <f t="shared" si="18"/>
        <v>5305.47</v>
      </c>
    </row>
    <row r="358" spans="1:5" x14ac:dyDescent="0.2">
      <c r="A358" s="5">
        <v>38709</v>
      </c>
      <c r="B358">
        <v>4.6721000000000004</v>
      </c>
      <c r="C358" t="b">
        <f t="shared" si="16"/>
        <v>1</v>
      </c>
      <c r="D358" t="b">
        <f t="shared" si="17"/>
        <v>0</v>
      </c>
      <c r="E358">
        <f t="shared" si="18"/>
        <v>24787.686387000002</v>
      </c>
    </row>
    <row r="359" spans="1:5" x14ac:dyDescent="0.2">
      <c r="A359" s="5">
        <v>38710</v>
      </c>
      <c r="B359">
        <v>4.6555</v>
      </c>
      <c r="C359" t="b">
        <f t="shared" si="16"/>
        <v>0</v>
      </c>
      <c r="D359" t="b">
        <f t="shared" si="17"/>
        <v>1</v>
      </c>
      <c r="E359">
        <f t="shared" si="18"/>
        <v>5324.39</v>
      </c>
    </row>
    <row r="360" spans="1:5" x14ac:dyDescent="0.2">
      <c r="A360" s="5">
        <v>38711</v>
      </c>
      <c r="B360">
        <v>4.6647999999999996</v>
      </c>
      <c r="C360" t="b">
        <f t="shared" si="16"/>
        <v>1</v>
      </c>
      <c r="D360" t="b">
        <f t="shared" si="17"/>
        <v>0</v>
      </c>
      <c r="E360">
        <f t="shared" si="18"/>
        <v>24837.214472</v>
      </c>
    </row>
    <row r="361" spans="1:5" x14ac:dyDescent="0.2">
      <c r="A361" s="5">
        <v>38712</v>
      </c>
      <c r="B361">
        <v>4.6509</v>
      </c>
      <c r="C361" t="b">
        <f t="shared" si="16"/>
        <v>0</v>
      </c>
      <c r="D361" t="b">
        <f t="shared" si="17"/>
        <v>1</v>
      </c>
      <c r="E361">
        <f t="shared" si="18"/>
        <v>5340.3</v>
      </c>
    </row>
    <row r="362" spans="1:5" x14ac:dyDescent="0.2">
      <c r="A362" s="5">
        <v>38713</v>
      </c>
      <c r="B362">
        <v>4.6506999999999996</v>
      </c>
      <c r="C362" t="b">
        <f t="shared" si="16"/>
        <v>0</v>
      </c>
      <c r="D362" t="b">
        <f t="shared" si="17"/>
        <v>1</v>
      </c>
      <c r="E362">
        <f t="shared" si="18"/>
        <v>5340.3</v>
      </c>
    </row>
    <row r="363" spans="1:5" x14ac:dyDescent="0.2">
      <c r="A363" s="5">
        <v>38714</v>
      </c>
      <c r="B363">
        <v>4.66</v>
      </c>
      <c r="C363" t="b">
        <f t="shared" si="16"/>
        <v>1</v>
      </c>
      <c r="D363" t="b">
        <f t="shared" si="17"/>
        <v>0</v>
      </c>
      <c r="E363">
        <f t="shared" si="18"/>
        <v>24885.798000000003</v>
      </c>
    </row>
    <row r="364" spans="1:5" x14ac:dyDescent="0.2">
      <c r="A364" s="5">
        <v>38715</v>
      </c>
      <c r="B364">
        <v>4.6513</v>
      </c>
      <c r="C364" t="b">
        <f t="shared" si="16"/>
        <v>0</v>
      </c>
      <c r="D364" t="b">
        <f t="shared" si="17"/>
        <v>1</v>
      </c>
      <c r="E364">
        <f t="shared" si="18"/>
        <v>5350.29</v>
      </c>
    </row>
    <row r="365" spans="1:5" x14ac:dyDescent="0.2">
      <c r="A365" s="5">
        <v>38716</v>
      </c>
      <c r="B365">
        <v>4.6500000000000004</v>
      </c>
      <c r="C365" t="b">
        <f t="shared" si="16"/>
        <v>0</v>
      </c>
      <c r="D365" t="b">
        <f t="shared" si="17"/>
        <v>1</v>
      </c>
      <c r="E365">
        <f t="shared" si="18"/>
        <v>5350.29</v>
      </c>
    </row>
    <row r="366" spans="1:5" x14ac:dyDescent="0.2">
      <c r="A366" s="5">
        <v>38717</v>
      </c>
      <c r="B366">
        <v>4.6573000000000002</v>
      </c>
      <c r="C366" t="b">
        <f t="shared" si="16"/>
        <v>1</v>
      </c>
      <c r="D366" t="b">
        <f t="shared" si="17"/>
        <v>0</v>
      </c>
      <c r="E366">
        <f>ROUND(IF(D365,IF(C366,E365*B366,E365),ROUND(E365/B366,2)),2)</f>
        <v>24917.91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B5A1-499E-BC47-B399-DCD4539069A7}">
  <dimension ref="A1:L366"/>
  <sheetViews>
    <sheetView tabSelected="1" zoomScale="125" workbookViewId="0">
      <selection activeCell="E2" sqref="E2:F2"/>
    </sheetView>
  </sheetViews>
  <sheetFormatPr baseColWidth="10" defaultRowHeight="16" x14ac:dyDescent="0.2"/>
  <cols>
    <col min="2" max="2" width="7.33203125" style="3" bestFit="1" customWidth="1"/>
    <col min="3" max="3" width="10.5" style="3" bestFit="1" customWidth="1"/>
    <col min="5" max="5" width="13.1640625" bestFit="1" customWidth="1"/>
  </cols>
  <sheetData>
    <row r="1" spans="1:12" x14ac:dyDescent="0.2">
      <c r="A1" t="s">
        <v>13</v>
      </c>
      <c r="B1" s="3" t="s">
        <v>12</v>
      </c>
      <c r="C1" s="3" t="s">
        <v>17</v>
      </c>
      <c r="L1" s="1"/>
    </row>
    <row r="2" spans="1:12" x14ac:dyDescent="0.2">
      <c r="A2" s="5">
        <v>38353</v>
      </c>
      <c r="B2">
        <v>4.0202</v>
      </c>
      <c r="C2">
        <f>0</f>
        <v>0</v>
      </c>
      <c r="E2" s="4" t="s">
        <v>18</v>
      </c>
      <c r="F2" s="4">
        <f>SUM(C2:C366)</f>
        <v>194</v>
      </c>
    </row>
    <row r="3" spans="1:12" x14ac:dyDescent="0.2">
      <c r="A3" s="5">
        <v>38354</v>
      </c>
      <c r="B3">
        <v>4.0095000000000001</v>
      </c>
      <c r="C3">
        <f>IF(B2&lt;B3,1,0)</f>
        <v>0</v>
      </c>
    </row>
    <row r="4" spans="1:12" x14ac:dyDescent="0.2">
      <c r="A4" s="5">
        <v>38355</v>
      </c>
      <c r="B4">
        <v>3.9773000000000001</v>
      </c>
      <c r="C4">
        <f t="shared" ref="C4:C67" si="0">IF(B3&lt;B4,1,0)</f>
        <v>0</v>
      </c>
    </row>
    <row r="5" spans="1:12" x14ac:dyDescent="0.2">
      <c r="A5" s="5">
        <v>38356</v>
      </c>
      <c r="B5">
        <v>3.9986999999999999</v>
      </c>
      <c r="C5">
        <f t="shared" si="0"/>
        <v>1</v>
      </c>
    </row>
    <row r="6" spans="1:12" x14ac:dyDescent="0.2">
      <c r="A6" s="5">
        <v>38357</v>
      </c>
      <c r="B6">
        <v>3.9891000000000001</v>
      </c>
      <c r="C6">
        <f t="shared" si="0"/>
        <v>0</v>
      </c>
    </row>
    <row r="7" spans="1:12" x14ac:dyDescent="0.2">
      <c r="A7" s="5">
        <v>38358</v>
      </c>
      <c r="B7">
        <v>4</v>
      </c>
      <c r="C7">
        <f t="shared" si="0"/>
        <v>1</v>
      </c>
    </row>
    <row r="8" spans="1:12" x14ac:dyDescent="0.2">
      <c r="A8" s="5">
        <v>38359</v>
      </c>
      <c r="B8">
        <v>4.0284000000000004</v>
      </c>
      <c r="C8">
        <f t="shared" si="0"/>
        <v>1</v>
      </c>
    </row>
    <row r="9" spans="1:12" x14ac:dyDescent="0.2">
      <c r="A9" s="5">
        <v>38360</v>
      </c>
      <c r="B9">
        <v>4.0199999999999996</v>
      </c>
      <c r="C9">
        <f t="shared" si="0"/>
        <v>0</v>
      </c>
    </row>
    <row r="10" spans="1:12" x14ac:dyDescent="0.2">
      <c r="A10" s="5">
        <v>38361</v>
      </c>
      <c r="B10">
        <v>4.0167000000000002</v>
      </c>
      <c r="C10">
        <f t="shared" si="0"/>
        <v>0</v>
      </c>
    </row>
    <row r="11" spans="1:12" x14ac:dyDescent="0.2">
      <c r="A11" s="5">
        <v>38362</v>
      </c>
      <c r="B11">
        <v>4.0273000000000003</v>
      </c>
      <c r="C11">
        <f t="shared" si="0"/>
        <v>1</v>
      </c>
    </row>
    <row r="12" spans="1:12" x14ac:dyDescent="0.2">
      <c r="A12" s="5">
        <v>38363</v>
      </c>
      <c r="B12">
        <v>4.0138999999999996</v>
      </c>
      <c r="C12">
        <f t="shared" si="0"/>
        <v>0</v>
      </c>
    </row>
    <row r="13" spans="1:12" x14ac:dyDescent="0.2">
      <c r="A13" s="5">
        <v>38364</v>
      </c>
      <c r="B13">
        <v>4.0071000000000003</v>
      </c>
      <c r="C13">
        <f t="shared" si="0"/>
        <v>0</v>
      </c>
    </row>
    <row r="14" spans="1:12" x14ac:dyDescent="0.2">
      <c r="A14" s="5">
        <v>38365</v>
      </c>
      <c r="B14">
        <v>4.0608000000000004</v>
      </c>
      <c r="C14">
        <f t="shared" si="0"/>
        <v>1</v>
      </c>
    </row>
    <row r="15" spans="1:12" x14ac:dyDescent="0.2">
      <c r="A15" s="5">
        <v>38366</v>
      </c>
      <c r="B15">
        <v>4.0643000000000002</v>
      </c>
      <c r="C15">
        <f t="shared" si="0"/>
        <v>1</v>
      </c>
    </row>
    <row r="16" spans="1:12" x14ac:dyDescent="0.2">
      <c r="A16" s="5">
        <v>38367</v>
      </c>
      <c r="B16">
        <v>4.0667</v>
      </c>
      <c r="C16">
        <f t="shared" si="0"/>
        <v>1</v>
      </c>
    </row>
    <row r="17" spans="1:3" x14ac:dyDescent="0.2">
      <c r="A17" s="5">
        <v>38368</v>
      </c>
      <c r="B17">
        <v>4.1372999999999998</v>
      </c>
      <c r="C17">
        <f t="shared" si="0"/>
        <v>1</v>
      </c>
    </row>
    <row r="18" spans="1:3" x14ac:dyDescent="0.2">
      <c r="A18" s="5">
        <v>38369</v>
      </c>
      <c r="B18">
        <v>4.2412999999999998</v>
      </c>
      <c r="C18">
        <f t="shared" si="0"/>
        <v>1</v>
      </c>
    </row>
    <row r="19" spans="1:3" x14ac:dyDescent="0.2">
      <c r="A19" s="5">
        <v>38370</v>
      </c>
      <c r="B19">
        <v>4.1680999999999999</v>
      </c>
      <c r="C19">
        <f t="shared" si="0"/>
        <v>0</v>
      </c>
    </row>
    <row r="20" spans="1:3" x14ac:dyDescent="0.2">
      <c r="A20" s="5">
        <v>38371</v>
      </c>
      <c r="B20">
        <v>4.1864999999999997</v>
      </c>
      <c r="C20">
        <f t="shared" si="0"/>
        <v>1</v>
      </c>
    </row>
    <row r="21" spans="1:3" x14ac:dyDescent="0.2">
      <c r="A21" s="5">
        <v>38372</v>
      </c>
      <c r="B21">
        <v>4.1562999999999999</v>
      </c>
      <c r="C21">
        <f t="shared" si="0"/>
        <v>0</v>
      </c>
    </row>
    <row r="22" spans="1:3" x14ac:dyDescent="0.2">
      <c r="A22" s="5">
        <v>38373</v>
      </c>
      <c r="B22">
        <v>4.1384999999999996</v>
      </c>
      <c r="C22">
        <f t="shared" si="0"/>
        <v>0</v>
      </c>
    </row>
    <row r="23" spans="1:3" x14ac:dyDescent="0.2">
      <c r="A23" s="5">
        <v>38374</v>
      </c>
      <c r="B23">
        <v>4.0887000000000002</v>
      </c>
      <c r="C23">
        <f t="shared" si="0"/>
        <v>0</v>
      </c>
    </row>
    <row r="24" spans="1:3" x14ac:dyDescent="0.2">
      <c r="A24" s="5">
        <v>38375</v>
      </c>
      <c r="B24">
        <v>4.1285999999999996</v>
      </c>
      <c r="C24">
        <f t="shared" si="0"/>
        <v>1</v>
      </c>
    </row>
    <row r="25" spans="1:3" x14ac:dyDescent="0.2">
      <c r="A25" s="5">
        <v>38376</v>
      </c>
      <c r="B25">
        <v>4.1059999999999999</v>
      </c>
      <c r="C25">
        <f t="shared" si="0"/>
        <v>0</v>
      </c>
    </row>
    <row r="26" spans="1:3" x14ac:dyDescent="0.2">
      <c r="A26" s="5">
        <v>38377</v>
      </c>
      <c r="B26">
        <v>4.1486000000000001</v>
      </c>
      <c r="C26">
        <f t="shared" si="0"/>
        <v>1</v>
      </c>
    </row>
    <row r="27" spans="1:3" x14ac:dyDescent="0.2">
      <c r="A27" s="5">
        <v>38378</v>
      </c>
      <c r="B27">
        <v>4.1718000000000002</v>
      </c>
      <c r="C27">
        <f t="shared" si="0"/>
        <v>1</v>
      </c>
    </row>
    <row r="28" spans="1:3" x14ac:dyDescent="0.2">
      <c r="A28" s="5">
        <v>38379</v>
      </c>
      <c r="B28">
        <v>4.1668000000000003</v>
      </c>
      <c r="C28">
        <f t="shared" si="0"/>
        <v>0</v>
      </c>
    </row>
    <row r="29" spans="1:3" x14ac:dyDescent="0.2">
      <c r="A29" s="5">
        <v>38380</v>
      </c>
      <c r="B29">
        <v>4.1489000000000003</v>
      </c>
      <c r="C29">
        <f t="shared" si="0"/>
        <v>0</v>
      </c>
    </row>
    <row r="30" spans="1:3" x14ac:dyDescent="0.2">
      <c r="A30" s="5">
        <v>38381</v>
      </c>
      <c r="B30">
        <v>4.1680999999999999</v>
      </c>
      <c r="C30">
        <f t="shared" si="0"/>
        <v>1</v>
      </c>
    </row>
    <row r="31" spans="1:3" x14ac:dyDescent="0.2">
      <c r="A31" s="5">
        <v>38382</v>
      </c>
      <c r="B31">
        <v>4.1332000000000004</v>
      </c>
      <c r="C31">
        <f t="shared" si="0"/>
        <v>0</v>
      </c>
    </row>
    <row r="32" spans="1:3" x14ac:dyDescent="0.2">
      <c r="A32" s="5">
        <v>38383</v>
      </c>
      <c r="B32">
        <v>4.1425000000000001</v>
      </c>
      <c r="C32">
        <f t="shared" si="0"/>
        <v>1</v>
      </c>
    </row>
    <row r="33" spans="1:3" x14ac:dyDescent="0.2">
      <c r="A33" s="5">
        <v>38384</v>
      </c>
      <c r="B33">
        <v>4.1555999999999997</v>
      </c>
      <c r="C33">
        <f t="shared" si="0"/>
        <v>1</v>
      </c>
    </row>
    <row r="34" spans="1:3" x14ac:dyDescent="0.2">
      <c r="A34" s="5">
        <v>38385</v>
      </c>
      <c r="B34">
        <v>4.1704999999999997</v>
      </c>
      <c r="C34">
        <f t="shared" si="0"/>
        <v>1</v>
      </c>
    </row>
    <row r="35" spans="1:3" x14ac:dyDescent="0.2">
      <c r="A35" s="5">
        <v>38386</v>
      </c>
      <c r="B35">
        <v>4.1452999999999998</v>
      </c>
      <c r="C35">
        <f t="shared" si="0"/>
        <v>0</v>
      </c>
    </row>
    <row r="36" spans="1:3" x14ac:dyDescent="0.2">
      <c r="A36" s="5">
        <v>38387</v>
      </c>
      <c r="B36">
        <v>4.1421999999999999</v>
      </c>
      <c r="C36">
        <f t="shared" si="0"/>
        <v>0</v>
      </c>
    </row>
    <row r="37" spans="1:3" x14ac:dyDescent="0.2">
      <c r="A37" s="5">
        <v>38388</v>
      </c>
      <c r="B37">
        <v>4.1496000000000004</v>
      </c>
      <c r="C37">
        <f t="shared" si="0"/>
        <v>1</v>
      </c>
    </row>
    <row r="38" spans="1:3" x14ac:dyDescent="0.2">
      <c r="A38" s="5">
        <v>38389</v>
      </c>
      <c r="B38">
        <v>4.1874000000000002</v>
      </c>
      <c r="C38">
        <f t="shared" si="0"/>
        <v>1</v>
      </c>
    </row>
    <row r="39" spans="1:3" x14ac:dyDescent="0.2">
      <c r="A39" s="5">
        <v>38390</v>
      </c>
      <c r="B39">
        <v>4.2035999999999998</v>
      </c>
      <c r="C39">
        <f t="shared" si="0"/>
        <v>1</v>
      </c>
    </row>
    <row r="40" spans="1:3" x14ac:dyDescent="0.2">
      <c r="A40" s="5">
        <v>38391</v>
      </c>
      <c r="B40">
        <v>4.1848999999999998</v>
      </c>
      <c r="C40">
        <f t="shared" si="0"/>
        <v>0</v>
      </c>
    </row>
    <row r="41" spans="1:3" x14ac:dyDescent="0.2">
      <c r="A41" s="5">
        <v>38392</v>
      </c>
      <c r="B41">
        <v>4.1936999999999998</v>
      </c>
      <c r="C41">
        <f t="shared" si="0"/>
        <v>1</v>
      </c>
    </row>
    <row r="42" spans="1:3" x14ac:dyDescent="0.2">
      <c r="A42" s="5">
        <v>38393</v>
      </c>
      <c r="B42">
        <v>4.1792999999999996</v>
      </c>
      <c r="C42">
        <f t="shared" si="0"/>
        <v>0</v>
      </c>
    </row>
    <row r="43" spans="1:3" x14ac:dyDescent="0.2">
      <c r="A43" s="5">
        <v>38394</v>
      </c>
      <c r="B43">
        <v>4.1965000000000003</v>
      </c>
      <c r="C43">
        <f t="shared" si="0"/>
        <v>1</v>
      </c>
    </row>
    <row r="44" spans="1:3" x14ac:dyDescent="0.2">
      <c r="A44" s="5">
        <v>38395</v>
      </c>
      <c r="B44">
        <v>4.2083000000000004</v>
      </c>
      <c r="C44">
        <f t="shared" si="0"/>
        <v>1</v>
      </c>
    </row>
    <row r="45" spans="1:3" x14ac:dyDescent="0.2">
      <c r="A45" s="5">
        <v>38396</v>
      </c>
      <c r="B45">
        <v>4.2740999999999998</v>
      </c>
      <c r="C45">
        <f t="shared" si="0"/>
        <v>1</v>
      </c>
    </row>
    <row r="46" spans="1:3" x14ac:dyDescent="0.2">
      <c r="A46" s="5">
        <v>38397</v>
      </c>
      <c r="B46">
        <v>4.3125999999999998</v>
      </c>
      <c r="C46">
        <f t="shared" si="0"/>
        <v>1</v>
      </c>
    </row>
    <row r="47" spans="1:3" x14ac:dyDescent="0.2">
      <c r="A47" s="5">
        <v>38398</v>
      </c>
      <c r="B47">
        <v>4.3132999999999999</v>
      </c>
      <c r="C47">
        <f t="shared" si="0"/>
        <v>1</v>
      </c>
    </row>
    <row r="48" spans="1:3" x14ac:dyDescent="0.2">
      <c r="A48" s="5">
        <v>38399</v>
      </c>
      <c r="B48">
        <v>4.2812999999999999</v>
      </c>
      <c r="C48">
        <f t="shared" si="0"/>
        <v>0</v>
      </c>
    </row>
    <row r="49" spans="1:3" x14ac:dyDescent="0.2">
      <c r="A49" s="5">
        <v>38400</v>
      </c>
      <c r="B49">
        <v>4.2976999999999999</v>
      </c>
      <c r="C49">
        <f t="shared" si="0"/>
        <v>1</v>
      </c>
    </row>
    <row r="50" spans="1:3" x14ac:dyDescent="0.2">
      <c r="A50" s="5">
        <v>38401</v>
      </c>
      <c r="B50">
        <v>4.3411999999999997</v>
      </c>
      <c r="C50">
        <f t="shared" si="0"/>
        <v>1</v>
      </c>
    </row>
    <row r="51" spans="1:3" x14ac:dyDescent="0.2">
      <c r="A51" s="5">
        <v>38402</v>
      </c>
      <c r="B51">
        <v>4.3653000000000004</v>
      </c>
      <c r="C51">
        <f t="shared" si="0"/>
        <v>1</v>
      </c>
    </row>
    <row r="52" spans="1:3" x14ac:dyDescent="0.2">
      <c r="A52" s="5">
        <v>38403</v>
      </c>
      <c r="B52">
        <v>4.3693</v>
      </c>
      <c r="C52">
        <f t="shared" si="0"/>
        <v>1</v>
      </c>
    </row>
    <row r="53" spans="1:3" x14ac:dyDescent="0.2">
      <c r="A53" s="5">
        <v>38404</v>
      </c>
      <c r="B53">
        <v>4.3979999999999997</v>
      </c>
      <c r="C53">
        <f t="shared" si="0"/>
        <v>1</v>
      </c>
    </row>
    <row r="54" spans="1:3" x14ac:dyDescent="0.2">
      <c r="A54" s="5">
        <v>38405</v>
      </c>
      <c r="B54">
        <v>4.3076999999999996</v>
      </c>
      <c r="C54">
        <f t="shared" si="0"/>
        <v>0</v>
      </c>
    </row>
    <row r="55" spans="1:3" x14ac:dyDescent="0.2">
      <c r="A55" s="5">
        <v>38406</v>
      </c>
      <c r="B55">
        <v>4.3503999999999996</v>
      </c>
      <c r="C55">
        <f t="shared" si="0"/>
        <v>1</v>
      </c>
    </row>
    <row r="56" spans="1:3" x14ac:dyDescent="0.2">
      <c r="A56" s="5">
        <v>38407</v>
      </c>
      <c r="B56">
        <v>4.3137999999999996</v>
      </c>
      <c r="C56">
        <f t="shared" si="0"/>
        <v>0</v>
      </c>
    </row>
    <row r="57" spans="1:3" x14ac:dyDescent="0.2">
      <c r="A57" s="5">
        <v>38408</v>
      </c>
      <c r="B57">
        <v>4.3282999999999996</v>
      </c>
      <c r="C57">
        <f t="shared" si="0"/>
        <v>1</v>
      </c>
    </row>
    <row r="58" spans="1:3" x14ac:dyDescent="0.2">
      <c r="A58" s="5">
        <v>38409</v>
      </c>
      <c r="B58">
        <v>4.3124000000000002</v>
      </c>
      <c r="C58">
        <f t="shared" si="0"/>
        <v>0</v>
      </c>
    </row>
    <row r="59" spans="1:3" x14ac:dyDescent="0.2">
      <c r="A59" s="5">
        <v>38410</v>
      </c>
      <c r="B59">
        <v>4.3090999999999999</v>
      </c>
      <c r="C59">
        <f t="shared" si="0"/>
        <v>0</v>
      </c>
    </row>
    <row r="60" spans="1:3" x14ac:dyDescent="0.2">
      <c r="A60" s="5">
        <v>38411</v>
      </c>
      <c r="B60">
        <v>4.3346</v>
      </c>
      <c r="C60">
        <f t="shared" si="0"/>
        <v>1</v>
      </c>
    </row>
    <row r="61" spans="1:3" x14ac:dyDescent="0.2">
      <c r="A61" s="5">
        <v>38412</v>
      </c>
      <c r="B61">
        <v>4.3517999999999999</v>
      </c>
      <c r="C61">
        <f t="shared" si="0"/>
        <v>1</v>
      </c>
    </row>
    <row r="62" spans="1:3" x14ac:dyDescent="0.2">
      <c r="A62" s="5">
        <v>38413</v>
      </c>
      <c r="B62">
        <v>4.3285999999999998</v>
      </c>
      <c r="C62">
        <f t="shared" si="0"/>
        <v>0</v>
      </c>
    </row>
    <row r="63" spans="1:3" x14ac:dyDescent="0.2">
      <c r="A63" s="5">
        <v>38414</v>
      </c>
      <c r="B63">
        <v>4.3541999999999996</v>
      </c>
      <c r="C63">
        <f t="shared" si="0"/>
        <v>1</v>
      </c>
    </row>
    <row r="64" spans="1:3" x14ac:dyDescent="0.2">
      <c r="A64" s="5">
        <v>38415</v>
      </c>
      <c r="B64">
        <v>4.3700999999999999</v>
      </c>
      <c r="C64">
        <f t="shared" si="0"/>
        <v>1</v>
      </c>
    </row>
    <row r="65" spans="1:3" x14ac:dyDescent="0.2">
      <c r="A65" s="5">
        <v>38416</v>
      </c>
      <c r="B65">
        <v>4.4051999999999998</v>
      </c>
      <c r="C65">
        <f t="shared" si="0"/>
        <v>1</v>
      </c>
    </row>
    <row r="66" spans="1:3" x14ac:dyDescent="0.2">
      <c r="A66" s="5">
        <v>38417</v>
      </c>
      <c r="B66">
        <v>4.4518000000000004</v>
      </c>
      <c r="C66">
        <f t="shared" si="0"/>
        <v>1</v>
      </c>
    </row>
    <row r="67" spans="1:3" x14ac:dyDescent="0.2">
      <c r="A67" s="5">
        <v>38418</v>
      </c>
      <c r="B67">
        <v>4.4157999999999999</v>
      </c>
      <c r="C67">
        <f t="shared" si="0"/>
        <v>0</v>
      </c>
    </row>
    <row r="68" spans="1:3" x14ac:dyDescent="0.2">
      <c r="A68" s="5">
        <v>38419</v>
      </c>
      <c r="B68">
        <v>4.3632</v>
      </c>
      <c r="C68">
        <f t="shared" ref="C68:C131" si="1">IF(B67&lt;B68,1,0)</f>
        <v>0</v>
      </c>
    </row>
    <row r="69" spans="1:3" x14ac:dyDescent="0.2">
      <c r="A69" s="5">
        <v>38420</v>
      </c>
      <c r="B69">
        <v>4.3647999999999998</v>
      </c>
      <c r="C69">
        <f t="shared" si="1"/>
        <v>1</v>
      </c>
    </row>
    <row r="70" spans="1:3" x14ac:dyDescent="0.2">
      <c r="A70" s="5">
        <v>38421</v>
      </c>
      <c r="B70">
        <v>4.3231000000000002</v>
      </c>
      <c r="C70">
        <f t="shared" si="1"/>
        <v>0</v>
      </c>
    </row>
    <row r="71" spans="1:3" x14ac:dyDescent="0.2">
      <c r="A71" s="5">
        <v>38422</v>
      </c>
      <c r="B71">
        <v>4.3428000000000004</v>
      </c>
      <c r="C71">
        <f t="shared" si="1"/>
        <v>1</v>
      </c>
    </row>
    <row r="72" spans="1:3" x14ac:dyDescent="0.2">
      <c r="A72" s="5">
        <v>38423</v>
      </c>
      <c r="B72">
        <v>4.2980999999999998</v>
      </c>
      <c r="C72">
        <f t="shared" si="1"/>
        <v>0</v>
      </c>
    </row>
    <row r="73" spans="1:3" x14ac:dyDescent="0.2">
      <c r="A73" s="5">
        <v>38424</v>
      </c>
      <c r="B73">
        <v>4.2580999999999998</v>
      </c>
      <c r="C73">
        <f t="shared" si="1"/>
        <v>0</v>
      </c>
    </row>
    <row r="74" spans="1:3" x14ac:dyDescent="0.2">
      <c r="A74" s="5">
        <v>38425</v>
      </c>
      <c r="B74">
        <v>4.2702999999999998</v>
      </c>
      <c r="C74">
        <f t="shared" si="1"/>
        <v>1</v>
      </c>
    </row>
    <row r="75" spans="1:3" x14ac:dyDescent="0.2">
      <c r="A75" s="5">
        <v>38426</v>
      </c>
      <c r="B75">
        <v>4.2397999999999998</v>
      </c>
      <c r="C75">
        <f t="shared" si="1"/>
        <v>0</v>
      </c>
    </row>
    <row r="76" spans="1:3" x14ac:dyDescent="0.2">
      <c r="A76" s="5">
        <v>38427</v>
      </c>
      <c r="B76">
        <v>4.2453000000000003</v>
      </c>
      <c r="C76">
        <f t="shared" si="1"/>
        <v>1</v>
      </c>
    </row>
    <row r="77" spans="1:3" x14ac:dyDescent="0.2">
      <c r="A77" s="5">
        <v>38428</v>
      </c>
      <c r="B77">
        <v>4.2933000000000003</v>
      </c>
      <c r="C77">
        <f t="shared" si="1"/>
        <v>1</v>
      </c>
    </row>
    <row r="78" spans="1:3" x14ac:dyDescent="0.2">
      <c r="A78" s="5">
        <v>38429</v>
      </c>
      <c r="B78">
        <v>4.2766999999999999</v>
      </c>
      <c r="C78">
        <f t="shared" si="1"/>
        <v>0</v>
      </c>
    </row>
    <row r="79" spans="1:3" x14ac:dyDescent="0.2">
      <c r="A79" s="5">
        <v>38430</v>
      </c>
      <c r="B79">
        <v>4.2630999999999997</v>
      </c>
      <c r="C79">
        <f t="shared" si="1"/>
        <v>0</v>
      </c>
    </row>
    <row r="80" spans="1:3" x14ac:dyDescent="0.2">
      <c r="A80" s="5">
        <v>38431</v>
      </c>
      <c r="B80">
        <v>4.2735000000000003</v>
      </c>
      <c r="C80">
        <f t="shared" si="1"/>
        <v>1</v>
      </c>
    </row>
    <row r="81" spans="1:3" x14ac:dyDescent="0.2">
      <c r="A81" s="5">
        <v>38432</v>
      </c>
      <c r="B81">
        <v>4.2634999999999996</v>
      </c>
      <c r="C81">
        <f t="shared" si="1"/>
        <v>0</v>
      </c>
    </row>
    <row r="82" spans="1:3" x14ac:dyDescent="0.2">
      <c r="A82" s="5">
        <v>38433</v>
      </c>
      <c r="B82">
        <v>4.2930000000000001</v>
      </c>
      <c r="C82">
        <f t="shared" si="1"/>
        <v>1</v>
      </c>
    </row>
    <row r="83" spans="1:3" x14ac:dyDescent="0.2">
      <c r="A83" s="5">
        <v>38434</v>
      </c>
      <c r="B83">
        <v>4.2769000000000004</v>
      </c>
      <c r="C83">
        <f t="shared" si="1"/>
        <v>0</v>
      </c>
    </row>
    <row r="84" spans="1:3" x14ac:dyDescent="0.2">
      <c r="A84" s="5">
        <v>38435</v>
      </c>
      <c r="B84">
        <v>4.2735000000000003</v>
      </c>
      <c r="C84">
        <f t="shared" si="1"/>
        <v>0</v>
      </c>
    </row>
    <row r="85" spans="1:3" x14ac:dyDescent="0.2">
      <c r="A85" s="5">
        <v>38436</v>
      </c>
      <c r="B85">
        <v>4.2792000000000003</v>
      </c>
      <c r="C85">
        <f t="shared" si="1"/>
        <v>1</v>
      </c>
    </row>
    <row r="86" spans="1:3" x14ac:dyDescent="0.2">
      <c r="A86" s="5">
        <v>38437</v>
      </c>
      <c r="B86">
        <v>4.2755000000000001</v>
      </c>
      <c r="C86">
        <f t="shared" si="1"/>
        <v>0</v>
      </c>
    </row>
    <row r="87" spans="1:3" x14ac:dyDescent="0.2">
      <c r="A87" s="5">
        <v>38438</v>
      </c>
      <c r="B87">
        <v>4.2625999999999999</v>
      </c>
      <c r="C87">
        <f t="shared" si="1"/>
        <v>0</v>
      </c>
    </row>
    <row r="88" spans="1:3" x14ac:dyDescent="0.2">
      <c r="A88" s="5">
        <v>38439</v>
      </c>
      <c r="B88">
        <v>4.2465000000000002</v>
      </c>
      <c r="C88">
        <f t="shared" si="1"/>
        <v>0</v>
      </c>
    </row>
    <row r="89" spans="1:3" x14ac:dyDescent="0.2">
      <c r="A89" s="5">
        <v>38440</v>
      </c>
      <c r="B89">
        <v>4.2613000000000003</v>
      </c>
      <c r="C89">
        <f t="shared" si="1"/>
        <v>1</v>
      </c>
    </row>
    <row r="90" spans="1:3" x14ac:dyDescent="0.2">
      <c r="A90" s="5">
        <v>38441</v>
      </c>
      <c r="B90">
        <v>4.3129999999999997</v>
      </c>
      <c r="C90">
        <f t="shared" si="1"/>
        <v>1</v>
      </c>
    </row>
    <row r="91" spans="1:3" x14ac:dyDescent="0.2">
      <c r="A91" s="5">
        <v>38442</v>
      </c>
      <c r="B91">
        <v>4.2953000000000001</v>
      </c>
      <c r="C91">
        <f t="shared" si="1"/>
        <v>0</v>
      </c>
    </row>
    <row r="92" spans="1:3" x14ac:dyDescent="0.2">
      <c r="A92" s="5">
        <v>38443</v>
      </c>
      <c r="B92">
        <v>4.3350999999999997</v>
      </c>
      <c r="C92">
        <f t="shared" si="1"/>
        <v>1</v>
      </c>
    </row>
    <row r="93" spans="1:3" x14ac:dyDescent="0.2">
      <c r="A93" s="5">
        <v>38444</v>
      </c>
      <c r="B93">
        <v>4.34</v>
      </c>
      <c r="C93">
        <f t="shared" si="1"/>
        <v>1</v>
      </c>
    </row>
    <row r="94" spans="1:3" x14ac:dyDescent="0.2">
      <c r="A94" s="5">
        <v>38445</v>
      </c>
      <c r="B94">
        <v>4.327</v>
      </c>
      <c r="C94">
        <f t="shared" si="1"/>
        <v>0</v>
      </c>
    </row>
    <row r="95" spans="1:3" x14ac:dyDescent="0.2">
      <c r="A95" s="5">
        <v>38446</v>
      </c>
      <c r="B95">
        <v>4.3202999999999996</v>
      </c>
      <c r="C95">
        <f t="shared" si="1"/>
        <v>0</v>
      </c>
    </row>
    <row r="96" spans="1:3" x14ac:dyDescent="0.2">
      <c r="A96" s="5">
        <v>38447</v>
      </c>
      <c r="B96">
        <v>4.33</v>
      </c>
      <c r="C96">
        <f t="shared" si="1"/>
        <v>1</v>
      </c>
    </row>
    <row r="97" spans="1:3" x14ac:dyDescent="0.2">
      <c r="A97" s="5">
        <v>38448</v>
      </c>
      <c r="B97">
        <v>4.3129</v>
      </c>
      <c r="C97">
        <f t="shared" si="1"/>
        <v>0</v>
      </c>
    </row>
    <row r="98" spans="1:3" x14ac:dyDescent="0.2">
      <c r="A98" s="5">
        <v>38449</v>
      </c>
      <c r="B98">
        <v>4.3448000000000002</v>
      </c>
      <c r="C98">
        <f t="shared" si="1"/>
        <v>1</v>
      </c>
    </row>
    <row r="99" spans="1:3" x14ac:dyDescent="0.2">
      <c r="A99" s="5">
        <v>38450</v>
      </c>
      <c r="B99">
        <v>4.3226000000000004</v>
      </c>
      <c r="C99">
        <f t="shared" si="1"/>
        <v>0</v>
      </c>
    </row>
    <row r="100" spans="1:3" x14ac:dyDescent="0.2">
      <c r="A100" s="5">
        <v>38451</v>
      </c>
      <c r="B100">
        <v>4.3808999999999996</v>
      </c>
      <c r="C100">
        <f t="shared" si="1"/>
        <v>1</v>
      </c>
    </row>
    <row r="101" spans="1:3" x14ac:dyDescent="0.2">
      <c r="A101" s="5">
        <v>38452</v>
      </c>
      <c r="B101">
        <v>4.3254000000000001</v>
      </c>
      <c r="C101">
        <f t="shared" si="1"/>
        <v>0</v>
      </c>
    </row>
    <row r="102" spans="1:3" x14ac:dyDescent="0.2">
      <c r="A102" s="5">
        <v>38453</v>
      </c>
      <c r="B102">
        <v>4.3507999999999996</v>
      </c>
      <c r="C102">
        <f t="shared" si="1"/>
        <v>1</v>
      </c>
    </row>
    <row r="103" spans="1:3" x14ac:dyDescent="0.2">
      <c r="A103" s="5">
        <v>38454</v>
      </c>
      <c r="B103">
        <v>4.3460000000000001</v>
      </c>
      <c r="C103">
        <f t="shared" si="1"/>
        <v>0</v>
      </c>
    </row>
    <row r="104" spans="1:3" x14ac:dyDescent="0.2">
      <c r="A104" s="5">
        <v>38455</v>
      </c>
      <c r="B104">
        <v>4.3667999999999996</v>
      </c>
      <c r="C104">
        <f t="shared" si="1"/>
        <v>1</v>
      </c>
    </row>
    <row r="105" spans="1:3" x14ac:dyDescent="0.2">
      <c r="A105" s="5">
        <v>38456</v>
      </c>
      <c r="B105">
        <v>4.3573000000000004</v>
      </c>
      <c r="C105">
        <f t="shared" si="1"/>
        <v>0</v>
      </c>
    </row>
    <row r="106" spans="1:3" x14ac:dyDescent="0.2">
      <c r="A106" s="5">
        <v>38457</v>
      </c>
      <c r="B106">
        <v>4.3849</v>
      </c>
      <c r="C106">
        <f t="shared" si="1"/>
        <v>1</v>
      </c>
    </row>
    <row r="107" spans="1:3" x14ac:dyDescent="0.2">
      <c r="A107" s="5">
        <v>38458</v>
      </c>
      <c r="B107">
        <v>4.3914999999999997</v>
      </c>
      <c r="C107">
        <f t="shared" si="1"/>
        <v>1</v>
      </c>
    </row>
    <row r="108" spans="1:3" x14ac:dyDescent="0.2">
      <c r="A108" s="5">
        <v>38459</v>
      </c>
      <c r="B108">
        <v>4.3840000000000003</v>
      </c>
      <c r="C108">
        <f t="shared" si="1"/>
        <v>0</v>
      </c>
    </row>
    <row r="109" spans="1:3" x14ac:dyDescent="0.2">
      <c r="A109" s="5">
        <v>38460</v>
      </c>
      <c r="B109">
        <v>4.4137000000000004</v>
      </c>
      <c r="C109">
        <f t="shared" si="1"/>
        <v>1</v>
      </c>
    </row>
    <row r="110" spans="1:3" x14ac:dyDescent="0.2">
      <c r="A110" s="5">
        <v>38461</v>
      </c>
      <c r="B110">
        <v>4.4428000000000001</v>
      </c>
      <c r="C110">
        <f t="shared" si="1"/>
        <v>1</v>
      </c>
    </row>
    <row r="111" spans="1:3" x14ac:dyDescent="0.2">
      <c r="A111" s="5">
        <v>38462</v>
      </c>
      <c r="B111">
        <v>4.4603999999999999</v>
      </c>
      <c r="C111">
        <f t="shared" si="1"/>
        <v>1</v>
      </c>
    </row>
    <row r="112" spans="1:3" x14ac:dyDescent="0.2">
      <c r="A112" s="5">
        <v>38463</v>
      </c>
      <c r="B112">
        <v>4.4368999999999996</v>
      </c>
      <c r="C112">
        <f t="shared" si="1"/>
        <v>0</v>
      </c>
    </row>
    <row r="113" spans="1:3" x14ac:dyDescent="0.2">
      <c r="A113" s="5">
        <v>38464</v>
      </c>
      <c r="B113">
        <v>4.3926999999999996</v>
      </c>
      <c r="C113">
        <f t="shared" si="1"/>
        <v>0</v>
      </c>
    </row>
    <row r="114" spans="1:3" x14ac:dyDescent="0.2">
      <c r="A114" s="5">
        <v>38465</v>
      </c>
      <c r="B114">
        <v>4.4371</v>
      </c>
      <c r="C114">
        <f t="shared" si="1"/>
        <v>1</v>
      </c>
    </row>
    <row r="115" spans="1:3" x14ac:dyDescent="0.2">
      <c r="A115" s="5">
        <v>38466</v>
      </c>
      <c r="B115">
        <v>4.4390000000000001</v>
      </c>
      <c r="C115">
        <f t="shared" si="1"/>
        <v>1</v>
      </c>
    </row>
    <row r="116" spans="1:3" x14ac:dyDescent="0.2">
      <c r="A116" s="5">
        <v>38467</v>
      </c>
      <c r="B116">
        <v>4.4527000000000001</v>
      </c>
      <c r="C116">
        <f t="shared" si="1"/>
        <v>1</v>
      </c>
    </row>
    <row r="117" spans="1:3" x14ac:dyDescent="0.2">
      <c r="A117" s="5">
        <v>38468</v>
      </c>
      <c r="B117">
        <v>4.4417999999999997</v>
      </c>
      <c r="C117">
        <f t="shared" si="1"/>
        <v>0</v>
      </c>
    </row>
    <row r="118" spans="1:3" x14ac:dyDescent="0.2">
      <c r="A118" s="5">
        <v>38469</v>
      </c>
      <c r="B118">
        <v>4.4257</v>
      </c>
      <c r="C118">
        <f t="shared" si="1"/>
        <v>0</v>
      </c>
    </row>
    <row r="119" spans="1:3" x14ac:dyDescent="0.2">
      <c r="A119" s="5">
        <v>38470</v>
      </c>
      <c r="B119">
        <v>4.4097999999999997</v>
      </c>
      <c r="C119">
        <f t="shared" si="1"/>
        <v>0</v>
      </c>
    </row>
    <row r="120" spans="1:3" x14ac:dyDescent="0.2">
      <c r="A120" s="5">
        <v>38471</v>
      </c>
      <c r="B120">
        <v>4.3789999999999996</v>
      </c>
      <c r="C120">
        <f t="shared" si="1"/>
        <v>0</v>
      </c>
    </row>
    <row r="121" spans="1:3" x14ac:dyDescent="0.2">
      <c r="A121" s="5">
        <v>38472</v>
      </c>
      <c r="B121">
        <v>4.4333999999999998</v>
      </c>
      <c r="C121">
        <f t="shared" si="1"/>
        <v>1</v>
      </c>
    </row>
    <row r="122" spans="1:3" x14ac:dyDescent="0.2">
      <c r="A122" s="5">
        <v>38473</v>
      </c>
      <c r="B122">
        <v>4.4166999999999996</v>
      </c>
      <c r="C122">
        <f t="shared" si="1"/>
        <v>0</v>
      </c>
    </row>
    <row r="123" spans="1:3" x14ac:dyDescent="0.2">
      <c r="A123" s="5">
        <v>38474</v>
      </c>
      <c r="B123">
        <v>4.4728000000000003</v>
      </c>
      <c r="C123">
        <f t="shared" si="1"/>
        <v>1</v>
      </c>
    </row>
    <row r="124" spans="1:3" x14ac:dyDescent="0.2">
      <c r="A124" s="5">
        <v>38475</v>
      </c>
      <c r="B124">
        <v>4.4667000000000003</v>
      </c>
      <c r="C124">
        <f t="shared" si="1"/>
        <v>0</v>
      </c>
    </row>
    <row r="125" spans="1:3" x14ac:dyDescent="0.2">
      <c r="A125" s="5">
        <v>38476</v>
      </c>
      <c r="B125">
        <v>4.4579000000000004</v>
      </c>
      <c r="C125">
        <f t="shared" si="1"/>
        <v>0</v>
      </c>
    </row>
    <row r="126" spans="1:3" x14ac:dyDescent="0.2">
      <c r="A126" s="5">
        <v>38477</v>
      </c>
      <c r="B126">
        <v>4.4896000000000003</v>
      </c>
      <c r="C126">
        <f t="shared" si="1"/>
        <v>1</v>
      </c>
    </row>
    <row r="127" spans="1:3" x14ac:dyDescent="0.2">
      <c r="A127" s="5">
        <v>38478</v>
      </c>
      <c r="B127">
        <v>4.4569999999999999</v>
      </c>
      <c r="C127">
        <f t="shared" si="1"/>
        <v>0</v>
      </c>
    </row>
    <row r="128" spans="1:3" x14ac:dyDescent="0.2">
      <c r="A128" s="5">
        <v>38479</v>
      </c>
      <c r="B128">
        <v>4.4429999999999996</v>
      </c>
      <c r="C128">
        <f t="shared" si="1"/>
        <v>0</v>
      </c>
    </row>
    <row r="129" spans="1:3" x14ac:dyDescent="0.2">
      <c r="A129" s="5">
        <v>38480</v>
      </c>
      <c r="B129">
        <v>4.4267000000000003</v>
      </c>
      <c r="C129">
        <f t="shared" si="1"/>
        <v>0</v>
      </c>
    </row>
    <row r="130" spans="1:3" x14ac:dyDescent="0.2">
      <c r="A130" s="5">
        <v>38481</v>
      </c>
      <c r="B130">
        <v>4.4370000000000003</v>
      </c>
      <c r="C130">
        <f t="shared" si="1"/>
        <v>1</v>
      </c>
    </row>
    <row r="131" spans="1:3" x14ac:dyDescent="0.2">
      <c r="A131" s="5">
        <v>38482</v>
      </c>
      <c r="B131">
        <v>4.4649000000000001</v>
      </c>
      <c r="C131">
        <f t="shared" si="1"/>
        <v>1</v>
      </c>
    </row>
    <row r="132" spans="1:3" x14ac:dyDescent="0.2">
      <c r="A132" s="5">
        <v>38483</v>
      </c>
      <c r="B132">
        <v>4.4410999999999996</v>
      </c>
      <c r="C132">
        <f t="shared" ref="C132:C195" si="2">IF(B131&lt;B132,1,0)</f>
        <v>0</v>
      </c>
    </row>
    <row r="133" spans="1:3" x14ac:dyDescent="0.2">
      <c r="A133" s="5">
        <v>38484</v>
      </c>
      <c r="B133">
        <v>4.4367999999999999</v>
      </c>
      <c r="C133">
        <f t="shared" si="2"/>
        <v>0</v>
      </c>
    </row>
    <row r="134" spans="1:3" x14ac:dyDescent="0.2">
      <c r="A134" s="5">
        <v>38485</v>
      </c>
      <c r="B134">
        <v>4.4560000000000004</v>
      </c>
      <c r="C134">
        <f t="shared" si="2"/>
        <v>1</v>
      </c>
    </row>
    <row r="135" spans="1:3" x14ac:dyDescent="0.2">
      <c r="A135" s="5">
        <v>38486</v>
      </c>
      <c r="B135">
        <v>4.4528999999999996</v>
      </c>
      <c r="C135">
        <f t="shared" si="2"/>
        <v>0</v>
      </c>
    </row>
    <row r="136" spans="1:3" x14ac:dyDescent="0.2">
      <c r="A136" s="5">
        <v>38487</v>
      </c>
      <c r="B136">
        <v>4.4497999999999998</v>
      </c>
      <c r="C136">
        <f t="shared" si="2"/>
        <v>0</v>
      </c>
    </row>
    <row r="137" spans="1:3" x14ac:dyDescent="0.2">
      <c r="A137" s="5">
        <v>38488</v>
      </c>
      <c r="B137">
        <v>4.4401999999999999</v>
      </c>
      <c r="C137">
        <f t="shared" si="2"/>
        <v>0</v>
      </c>
    </row>
    <row r="138" spans="1:3" x14ac:dyDescent="0.2">
      <c r="A138" s="5">
        <v>38489</v>
      </c>
      <c r="B138">
        <v>4.4443000000000001</v>
      </c>
      <c r="C138">
        <f t="shared" si="2"/>
        <v>1</v>
      </c>
    </row>
    <row r="139" spans="1:3" x14ac:dyDescent="0.2">
      <c r="A139" s="5">
        <v>38490</v>
      </c>
      <c r="B139">
        <v>4.4397000000000002</v>
      </c>
      <c r="C139">
        <f t="shared" si="2"/>
        <v>0</v>
      </c>
    </row>
    <row r="140" spans="1:3" x14ac:dyDescent="0.2">
      <c r="A140" s="5">
        <v>38491</v>
      </c>
      <c r="B140">
        <v>4.4885000000000002</v>
      </c>
      <c r="C140">
        <f t="shared" si="2"/>
        <v>1</v>
      </c>
    </row>
    <row r="141" spans="1:3" x14ac:dyDescent="0.2">
      <c r="A141" s="5">
        <v>38492</v>
      </c>
      <c r="B141">
        <v>4.4744999999999999</v>
      </c>
      <c r="C141">
        <f t="shared" si="2"/>
        <v>0</v>
      </c>
    </row>
    <row r="142" spans="1:3" x14ac:dyDescent="0.2">
      <c r="A142" s="5">
        <v>38493</v>
      </c>
      <c r="B142">
        <v>4.4733000000000001</v>
      </c>
      <c r="C142">
        <f t="shared" si="2"/>
        <v>0</v>
      </c>
    </row>
    <row r="143" spans="1:3" x14ac:dyDescent="0.2">
      <c r="A143" s="5">
        <v>38494</v>
      </c>
      <c r="B143">
        <v>4.4518000000000004</v>
      </c>
      <c r="C143">
        <f t="shared" si="2"/>
        <v>0</v>
      </c>
    </row>
    <row r="144" spans="1:3" x14ac:dyDescent="0.2">
      <c r="A144" s="5">
        <v>38495</v>
      </c>
      <c r="B144">
        <v>4.4591000000000003</v>
      </c>
      <c r="C144">
        <f t="shared" si="2"/>
        <v>1</v>
      </c>
    </row>
    <row r="145" spans="1:3" x14ac:dyDescent="0.2">
      <c r="A145" s="5">
        <v>38496</v>
      </c>
      <c r="B145">
        <v>4.4191000000000003</v>
      </c>
      <c r="C145">
        <f t="shared" si="2"/>
        <v>0</v>
      </c>
    </row>
    <row r="146" spans="1:3" x14ac:dyDescent="0.2">
      <c r="A146" s="5">
        <v>38497</v>
      </c>
      <c r="B146">
        <v>4.4175000000000004</v>
      </c>
      <c r="C146">
        <f t="shared" si="2"/>
        <v>0</v>
      </c>
    </row>
    <row r="147" spans="1:3" x14ac:dyDescent="0.2">
      <c r="A147" s="5">
        <v>38498</v>
      </c>
      <c r="B147">
        <v>4.4257999999999997</v>
      </c>
      <c r="C147">
        <f t="shared" si="2"/>
        <v>1</v>
      </c>
    </row>
    <row r="148" spans="1:3" x14ac:dyDescent="0.2">
      <c r="A148" s="5">
        <v>38499</v>
      </c>
      <c r="B148">
        <v>4.4099000000000004</v>
      </c>
      <c r="C148">
        <f t="shared" si="2"/>
        <v>0</v>
      </c>
    </row>
    <row r="149" spans="1:3" x14ac:dyDescent="0.2">
      <c r="A149" s="5">
        <v>38500</v>
      </c>
      <c r="B149">
        <v>4.3765000000000001</v>
      </c>
      <c r="C149">
        <f t="shared" si="2"/>
        <v>0</v>
      </c>
    </row>
    <row r="150" spans="1:3" x14ac:dyDescent="0.2">
      <c r="A150" s="5">
        <v>38501</v>
      </c>
      <c r="B150">
        <v>4.3879000000000001</v>
      </c>
      <c r="C150">
        <f t="shared" si="2"/>
        <v>1</v>
      </c>
    </row>
    <row r="151" spans="1:3" x14ac:dyDescent="0.2">
      <c r="A151" s="5">
        <v>38502</v>
      </c>
      <c r="B151">
        <v>4.3521000000000001</v>
      </c>
      <c r="C151">
        <f t="shared" si="2"/>
        <v>0</v>
      </c>
    </row>
    <row r="152" spans="1:3" x14ac:dyDescent="0.2">
      <c r="A152" s="5">
        <v>38503</v>
      </c>
      <c r="B152">
        <v>4.3785999999999996</v>
      </c>
      <c r="C152">
        <f t="shared" si="2"/>
        <v>1</v>
      </c>
    </row>
    <row r="153" spans="1:3" x14ac:dyDescent="0.2">
      <c r="A153" s="5">
        <v>38504</v>
      </c>
      <c r="B153">
        <v>4.3628</v>
      </c>
      <c r="C153">
        <f t="shared" si="2"/>
        <v>0</v>
      </c>
    </row>
    <row r="154" spans="1:3" x14ac:dyDescent="0.2">
      <c r="A154" s="5">
        <v>38505</v>
      </c>
      <c r="B154">
        <v>4.3810000000000002</v>
      </c>
      <c r="C154">
        <f t="shared" si="2"/>
        <v>1</v>
      </c>
    </row>
    <row r="155" spans="1:3" x14ac:dyDescent="0.2">
      <c r="A155" s="5">
        <v>38506</v>
      </c>
      <c r="B155">
        <v>4.3710000000000004</v>
      </c>
      <c r="C155">
        <f t="shared" si="2"/>
        <v>0</v>
      </c>
    </row>
    <row r="156" spans="1:3" x14ac:dyDescent="0.2">
      <c r="A156" s="5">
        <v>38507</v>
      </c>
      <c r="B156">
        <v>4.3630000000000004</v>
      </c>
      <c r="C156">
        <f t="shared" si="2"/>
        <v>0</v>
      </c>
    </row>
    <row r="157" spans="1:3" x14ac:dyDescent="0.2">
      <c r="A157" s="5">
        <v>38508</v>
      </c>
      <c r="B157">
        <v>4.3639999999999999</v>
      </c>
      <c r="C157">
        <f t="shared" si="2"/>
        <v>1</v>
      </c>
    </row>
    <row r="158" spans="1:3" x14ac:dyDescent="0.2">
      <c r="A158" s="5">
        <v>38509</v>
      </c>
      <c r="B158">
        <v>4.3697999999999997</v>
      </c>
      <c r="C158">
        <f t="shared" si="2"/>
        <v>1</v>
      </c>
    </row>
    <row r="159" spans="1:3" x14ac:dyDescent="0.2">
      <c r="A159" s="5">
        <v>38510</v>
      </c>
      <c r="B159">
        <v>4.3720999999999997</v>
      </c>
      <c r="C159">
        <f t="shared" si="2"/>
        <v>1</v>
      </c>
    </row>
    <row r="160" spans="1:3" x14ac:dyDescent="0.2">
      <c r="A160" s="5">
        <v>38511</v>
      </c>
      <c r="B160">
        <v>4.3852000000000002</v>
      </c>
      <c r="C160">
        <f t="shared" si="2"/>
        <v>1</v>
      </c>
    </row>
    <row r="161" spans="1:3" x14ac:dyDescent="0.2">
      <c r="A161" s="5">
        <v>38512</v>
      </c>
      <c r="B161">
        <v>4.3700999999999999</v>
      </c>
      <c r="C161">
        <f t="shared" si="2"/>
        <v>0</v>
      </c>
    </row>
    <row r="162" spans="1:3" x14ac:dyDescent="0.2">
      <c r="A162" s="5">
        <v>38513</v>
      </c>
      <c r="B162">
        <v>4.3676000000000004</v>
      </c>
      <c r="C162">
        <f t="shared" si="2"/>
        <v>0</v>
      </c>
    </row>
    <row r="163" spans="1:3" x14ac:dyDescent="0.2">
      <c r="A163" s="5">
        <v>38514</v>
      </c>
      <c r="B163">
        <v>4.3716999999999997</v>
      </c>
      <c r="C163">
        <f t="shared" si="2"/>
        <v>1</v>
      </c>
    </row>
    <row r="164" spans="1:3" x14ac:dyDescent="0.2">
      <c r="A164" s="5">
        <v>38515</v>
      </c>
      <c r="B164">
        <v>4.3529999999999998</v>
      </c>
      <c r="C164">
        <f t="shared" si="2"/>
        <v>0</v>
      </c>
    </row>
    <row r="165" spans="1:3" x14ac:dyDescent="0.2">
      <c r="A165" s="5">
        <v>38516</v>
      </c>
      <c r="B165">
        <v>4.3684000000000003</v>
      </c>
      <c r="C165">
        <f t="shared" si="2"/>
        <v>1</v>
      </c>
    </row>
    <row r="166" spans="1:3" x14ac:dyDescent="0.2">
      <c r="A166" s="5">
        <v>38517</v>
      </c>
      <c r="B166">
        <v>4.3643000000000001</v>
      </c>
      <c r="C166">
        <f t="shared" si="2"/>
        <v>0</v>
      </c>
    </row>
    <row r="167" spans="1:3" x14ac:dyDescent="0.2">
      <c r="A167" s="5">
        <v>38518</v>
      </c>
      <c r="B167">
        <v>4.3644999999999996</v>
      </c>
      <c r="C167">
        <f t="shared" si="2"/>
        <v>1</v>
      </c>
    </row>
    <row r="168" spans="1:3" x14ac:dyDescent="0.2">
      <c r="A168" s="5">
        <v>38519</v>
      </c>
      <c r="B168">
        <v>4.3613999999999997</v>
      </c>
      <c r="C168">
        <f t="shared" si="2"/>
        <v>0</v>
      </c>
    </row>
    <row r="169" spans="1:3" x14ac:dyDescent="0.2">
      <c r="A169" s="5">
        <v>38520</v>
      </c>
      <c r="B169">
        <v>4.351</v>
      </c>
      <c r="C169">
        <f t="shared" si="2"/>
        <v>0</v>
      </c>
    </row>
    <row r="170" spans="1:3" x14ac:dyDescent="0.2">
      <c r="A170" s="5">
        <v>38521</v>
      </c>
      <c r="B170">
        <v>4.3587999999999996</v>
      </c>
      <c r="C170">
        <f t="shared" si="2"/>
        <v>1</v>
      </c>
    </row>
    <row r="171" spans="1:3" x14ac:dyDescent="0.2">
      <c r="A171" s="5">
        <v>38522</v>
      </c>
      <c r="B171">
        <v>4.3602999999999996</v>
      </c>
      <c r="C171">
        <f t="shared" si="2"/>
        <v>1</v>
      </c>
    </row>
    <row r="172" spans="1:3" x14ac:dyDescent="0.2">
      <c r="A172" s="5">
        <v>38523</v>
      </c>
      <c r="B172">
        <v>4.3507999999999996</v>
      </c>
      <c r="C172">
        <f t="shared" si="2"/>
        <v>0</v>
      </c>
    </row>
    <row r="173" spans="1:3" x14ac:dyDescent="0.2">
      <c r="A173" s="5">
        <v>38524</v>
      </c>
      <c r="B173">
        <v>4.3616999999999999</v>
      </c>
      <c r="C173">
        <f t="shared" si="2"/>
        <v>1</v>
      </c>
    </row>
    <row r="174" spans="1:3" x14ac:dyDescent="0.2">
      <c r="A174" s="5">
        <v>38525</v>
      </c>
      <c r="B174">
        <v>4.3623000000000003</v>
      </c>
      <c r="C174">
        <f t="shared" si="2"/>
        <v>1</v>
      </c>
    </row>
    <row r="175" spans="1:3" x14ac:dyDescent="0.2">
      <c r="A175" s="5">
        <v>38526</v>
      </c>
      <c r="B175">
        <v>4.4089999999999998</v>
      </c>
      <c r="C175">
        <f t="shared" si="2"/>
        <v>1</v>
      </c>
    </row>
    <row r="176" spans="1:3" x14ac:dyDescent="0.2">
      <c r="A176" s="5">
        <v>38527</v>
      </c>
      <c r="B176">
        <v>4.4314999999999998</v>
      </c>
      <c r="C176">
        <f t="shared" si="2"/>
        <v>1</v>
      </c>
    </row>
    <row r="177" spans="1:3" x14ac:dyDescent="0.2">
      <c r="A177" s="5">
        <v>38528</v>
      </c>
      <c r="B177">
        <v>4.4278000000000004</v>
      </c>
      <c r="C177">
        <f t="shared" si="2"/>
        <v>0</v>
      </c>
    </row>
    <row r="178" spans="1:3" x14ac:dyDescent="0.2">
      <c r="A178" s="5">
        <v>38529</v>
      </c>
      <c r="B178">
        <v>4.4391999999999996</v>
      </c>
      <c r="C178">
        <f t="shared" si="2"/>
        <v>1</v>
      </c>
    </row>
    <row r="179" spans="1:3" x14ac:dyDescent="0.2">
      <c r="A179" s="5">
        <v>38530</v>
      </c>
      <c r="B179">
        <v>4.4333999999999998</v>
      </c>
      <c r="C179">
        <f t="shared" si="2"/>
        <v>0</v>
      </c>
    </row>
    <row r="180" spans="1:3" x14ac:dyDescent="0.2">
      <c r="A180" s="5">
        <v>38531</v>
      </c>
      <c r="B180">
        <v>4.4356999999999998</v>
      </c>
      <c r="C180">
        <f t="shared" si="2"/>
        <v>1</v>
      </c>
    </row>
    <row r="181" spans="1:3" x14ac:dyDescent="0.2">
      <c r="A181" s="5">
        <v>38532</v>
      </c>
      <c r="B181">
        <v>4.4402999999999997</v>
      </c>
      <c r="C181">
        <f t="shared" si="2"/>
        <v>1</v>
      </c>
    </row>
    <row r="182" spans="1:3" x14ac:dyDescent="0.2">
      <c r="A182" s="5">
        <v>38533</v>
      </c>
      <c r="B182">
        <v>4.4766000000000004</v>
      </c>
      <c r="C182">
        <f t="shared" si="2"/>
        <v>1</v>
      </c>
    </row>
    <row r="183" spans="1:3" x14ac:dyDescent="0.2">
      <c r="A183" s="5">
        <v>38534</v>
      </c>
      <c r="B183">
        <v>4.5148000000000001</v>
      </c>
      <c r="C183">
        <f t="shared" si="2"/>
        <v>1</v>
      </c>
    </row>
    <row r="184" spans="1:3" x14ac:dyDescent="0.2">
      <c r="A184" s="5">
        <v>38535</v>
      </c>
      <c r="B184">
        <v>4.5326000000000004</v>
      </c>
      <c r="C184">
        <f t="shared" si="2"/>
        <v>1</v>
      </c>
    </row>
    <row r="185" spans="1:3" x14ac:dyDescent="0.2">
      <c r="A185" s="5">
        <v>38536</v>
      </c>
      <c r="B185">
        <v>4.4995000000000003</v>
      </c>
      <c r="C185">
        <f t="shared" si="2"/>
        <v>0</v>
      </c>
    </row>
    <row r="186" spans="1:3" x14ac:dyDescent="0.2">
      <c r="A186" s="5">
        <v>38537</v>
      </c>
      <c r="B186">
        <v>4.5179999999999998</v>
      </c>
      <c r="C186">
        <f t="shared" si="2"/>
        <v>1</v>
      </c>
    </row>
    <row r="187" spans="1:3" x14ac:dyDescent="0.2">
      <c r="A187" s="5">
        <v>38538</v>
      </c>
      <c r="B187">
        <v>4.4976000000000003</v>
      </c>
      <c r="C187">
        <f t="shared" si="2"/>
        <v>0</v>
      </c>
    </row>
    <row r="188" spans="1:3" x14ac:dyDescent="0.2">
      <c r="A188" s="5">
        <v>38539</v>
      </c>
      <c r="B188">
        <v>4.4917999999999996</v>
      </c>
      <c r="C188">
        <f t="shared" si="2"/>
        <v>0</v>
      </c>
    </row>
    <row r="189" spans="1:3" x14ac:dyDescent="0.2">
      <c r="A189" s="5">
        <v>38540</v>
      </c>
      <c r="B189">
        <v>4.5067000000000004</v>
      </c>
      <c r="C189">
        <f t="shared" si="2"/>
        <v>1</v>
      </c>
    </row>
    <row r="190" spans="1:3" x14ac:dyDescent="0.2">
      <c r="A190" s="5">
        <v>38541</v>
      </c>
      <c r="B190">
        <v>4.5450999999999997</v>
      </c>
      <c r="C190">
        <f t="shared" si="2"/>
        <v>1</v>
      </c>
    </row>
    <row r="191" spans="1:3" x14ac:dyDescent="0.2">
      <c r="A191" s="5">
        <v>38542</v>
      </c>
      <c r="B191">
        <v>4.5503999999999998</v>
      </c>
      <c r="C191">
        <f t="shared" si="2"/>
        <v>1</v>
      </c>
    </row>
    <row r="192" spans="1:3" x14ac:dyDescent="0.2">
      <c r="A192" s="5">
        <v>38543</v>
      </c>
      <c r="B192">
        <v>4.6435000000000004</v>
      </c>
      <c r="C192">
        <f t="shared" si="2"/>
        <v>1</v>
      </c>
    </row>
    <row r="193" spans="1:3" x14ac:dyDescent="0.2">
      <c r="A193" s="5">
        <v>38544</v>
      </c>
      <c r="B193">
        <v>4.5685000000000002</v>
      </c>
      <c r="C193">
        <f t="shared" si="2"/>
        <v>0</v>
      </c>
    </row>
    <row r="194" spans="1:3" x14ac:dyDescent="0.2">
      <c r="A194" s="5">
        <v>38545</v>
      </c>
      <c r="B194">
        <v>4.5732999999999997</v>
      </c>
      <c r="C194">
        <f t="shared" si="2"/>
        <v>1</v>
      </c>
    </row>
    <row r="195" spans="1:3" x14ac:dyDescent="0.2">
      <c r="A195" s="5">
        <v>38546</v>
      </c>
      <c r="B195">
        <v>4.5467000000000004</v>
      </c>
      <c r="C195">
        <f t="shared" si="2"/>
        <v>0</v>
      </c>
    </row>
    <row r="196" spans="1:3" x14ac:dyDescent="0.2">
      <c r="A196" s="5">
        <v>38547</v>
      </c>
      <c r="B196">
        <v>4.5372000000000003</v>
      </c>
      <c r="C196">
        <f t="shared" ref="C196:C259" si="3">IF(B195&lt;B196,1,0)</f>
        <v>0</v>
      </c>
    </row>
    <row r="197" spans="1:3" x14ac:dyDescent="0.2">
      <c r="A197" s="5">
        <v>38548</v>
      </c>
      <c r="B197">
        <v>4.5624000000000002</v>
      </c>
      <c r="C197">
        <f t="shared" si="3"/>
        <v>1</v>
      </c>
    </row>
    <row r="198" spans="1:3" x14ac:dyDescent="0.2">
      <c r="A198" s="5">
        <v>38549</v>
      </c>
      <c r="B198">
        <v>4.5522999999999998</v>
      </c>
      <c r="C198">
        <f t="shared" si="3"/>
        <v>0</v>
      </c>
    </row>
    <row r="199" spans="1:3" x14ac:dyDescent="0.2">
      <c r="A199" s="5">
        <v>38550</v>
      </c>
      <c r="B199">
        <v>4.5107999999999997</v>
      </c>
      <c r="C199">
        <f t="shared" si="3"/>
        <v>0</v>
      </c>
    </row>
    <row r="200" spans="1:3" x14ac:dyDescent="0.2">
      <c r="A200" s="5">
        <v>38551</v>
      </c>
      <c r="B200">
        <v>4.5343</v>
      </c>
      <c r="C200">
        <f t="shared" si="3"/>
        <v>1</v>
      </c>
    </row>
    <row r="201" spans="1:3" x14ac:dyDescent="0.2">
      <c r="A201" s="5">
        <v>38552</v>
      </c>
      <c r="B201">
        <v>4.5084</v>
      </c>
      <c r="C201">
        <f t="shared" si="3"/>
        <v>0</v>
      </c>
    </row>
    <row r="202" spans="1:3" x14ac:dyDescent="0.2">
      <c r="A202" s="5">
        <v>38553</v>
      </c>
      <c r="B202">
        <v>4.5258000000000003</v>
      </c>
      <c r="C202">
        <f t="shared" si="3"/>
        <v>1</v>
      </c>
    </row>
    <row r="203" spans="1:3" x14ac:dyDescent="0.2">
      <c r="A203" s="5">
        <v>38554</v>
      </c>
      <c r="B203">
        <v>4.5591999999999997</v>
      </c>
      <c r="C203">
        <f t="shared" si="3"/>
        <v>1</v>
      </c>
    </row>
    <row r="204" spans="1:3" x14ac:dyDescent="0.2">
      <c r="A204" s="5">
        <v>38555</v>
      </c>
      <c r="B204">
        <v>4.6056999999999997</v>
      </c>
      <c r="C204">
        <f t="shared" si="3"/>
        <v>1</v>
      </c>
    </row>
    <row r="205" spans="1:3" x14ac:dyDescent="0.2">
      <c r="A205" s="5">
        <v>38556</v>
      </c>
      <c r="B205">
        <v>4.6021000000000001</v>
      </c>
      <c r="C205">
        <f t="shared" si="3"/>
        <v>0</v>
      </c>
    </row>
    <row r="206" spans="1:3" x14ac:dyDescent="0.2">
      <c r="A206" s="5">
        <v>38557</v>
      </c>
      <c r="B206">
        <v>4.6155999999999997</v>
      </c>
      <c r="C206">
        <f t="shared" si="3"/>
        <v>1</v>
      </c>
    </row>
    <row r="207" spans="1:3" x14ac:dyDescent="0.2">
      <c r="A207" s="5">
        <v>38558</v>
      </c>
      <c r="B207">
        <v>4.5913000000000004</v>
      </c>
      <c r="C207">
        <f t="shared" si="3"/>
        <v>0</v>
      </c>
    </row>
    <row r="208" spans="1:3" x14ac:dyDescent="0.2">
      <c r="A208" s="5">
        <v>38559</v>
      </c>
      <c r="B208">
        <v>4.6127000000000002</v>
      </c>
      <c r="C208">
        <f t="shared" si="3"/>
        <v>1</v>
      </c>
    </row>
    <row r="209" spans="1:3" x14ac:dyDescent="0.2">
      <c r="A209" s="5">
        <v>38560</v>
      </c>
      <c r="B209">
        <v>4.6468999999999996</v>
      </c>
      <c r="C209">
        <f t="shared" si="3"/>
        <v>1</v>
      </c>
    </row>
    <row r="210" spans="1:3" x14ac:dyDescent="0.2">
      <c r="A210" s="5">
        <v>38561</v>
      </c>
      <c r="B210">
        <v>4.6486999999999998</v>
      </c>
      <c r="C210">
        <f t="shared" si="3"/>
        <v>1</v>
      </c>
    </row>
    <row r="211" spans="1:3" x14ac:dyDescent="0.2">
      <c r="A211" s="5">
        <v>38562</v>
      </c>
      <c r="B211">
        <v>4.6595000000000004</v>
      </c>
      <c r="C211">
        <f t="shared" si="3"/>
        <v>1</v>
      </c>
    </row>
    <row r="212" spans="1:3" x14ac:dyDescent="0.2">
      <c r="A212" s="5">
        <v>38563</v>
      </c>
      <c r="B212">
        <v>4.6577000000000002</v>
      </c>
      <c r="C212">
        <f t="shared" si="3"/>
        <v>0</v>
      </c>
    </row>
    <row r="213" spans="1:3" x14ac:dyDescent="0.2">
      <c r="A213" s="5">
        <v>38564</v>
      </c>
      <c r="B213">
        <v>4.6517999999999997</v>
      </c>
      <c r="C213">
        <f t="shared" si="3"/>
        <v>0</v>
      </c>
    </row>
    <row r="214" spans="1:3" x14ac:dyDescent="0.2">
      <c r="A214" s="5">
        <v>38565</v>
      </c>
      <c r="B214">
        <v>4.6571999999999996</v>
      </c>
      <c r="C214">
        <f t="shared" si="3"/>
        <v>1</v>
      </c>
    </row>
    <row r="215" spans="1:3" x14ac:dyDescent="0.2">
      <c r="A215" s="5">
        <v>38566</v>
      </c>
      <c r="B215">
        <v>4.6825999999999999</v>
      </c>
      <c r="C215">
        <f t="shared" si="3"/>
        <v>1</v>
      </c>
    </row>
    <row r="216" spans="1:3" x14ac:dyDescent="0.2">
      <c r="A216" s="5">
        <v>38567</v>
      </c>
      <c r="B216">
        <v>4.6566000000000001</v>
      </c>
      <c r="C216">
        <f t="shared" si="3"/>
        <v>0</v>
      </c>
    </row>
    <row r="217" spans="1:3" x14ac:dyDescent="0.2">
      <c r="A217" s="5">
        <v>38568</v>
      </c>
      <c r="B217">
        <v>4.6249000000000002</v>
      </c>
      <c r="C217">
        <f t="shared" si="3"/>
        <v>0</v>
      </c>
    </row>
    <row r="218" spans="1:3" x14ac:dyDescent="0.2">
      <c r="A218" s="5">
        <v>38569</v>
      </c>
      <c r="B218">
        <v>4.5811999999999999</v>
      </c>
      <c r="C218">
        <f t="shared" si="3"/>
        <v>0</v>
      </c>
    </row>
    <row r="219" spans="1:3" x14ac:dyDescent="0.2">
      <c r="A219" s="5">
        <v>38570</v>
      </c>
      <c r="B219">
        <v>4.6067999999999998</v>
      </c>
      <c r="C219">
        <f t="shared" si="3"/>
        <v>1</v>
      </c>
    </row>
    <row r="220" spans="1:3" x14ac:dyDescent="0.2">
      <c r="A220" s="5">
        <v>38571</v>
      </c>
      <c r="B220">
        <v>4.5834999999999999</v>
      </c>
      <c r="C220">
        <f t="shared" si="3"/>
        <v>0</v>
      </c>
    </row>
    <row r="221" spans="1:3" x14ac:dyDescent="0.2">
      <c r="A221" s="5">
        <v>38572</v>
      </c>
      <c r="B221">
        <v>4.5872999999999999</v>
      </c>
      <c r="C221">
        <f t="shared" si="3"/>
        <v>1</v>
      </c>
    </row>
    <row r="222" spans="1:3" x14ac:dyDescent="0.2">
      <c r="A222" s="5">
        <v>38573</v>
      </c>
      <c r="B222">
        <v>4.5891999999999999</v>
      </c>
      <c r="C222">
        <f t="shared" si="3"/>
        <v>1</v>
      </c>
    </row>
    <row r="223" spans="1:3" x14ac:dyDescent="0.2">
      <c r="A223" s="5">
        <v>38574</v>
      </c>
      <c r="B223">
        <v>4.5831999999999997</v>
      </c>
      <c r="C223">
        <f t="shared" si="3"/>
        <v>0</v>
      </c>
    </row>
    <row r="224" spans="1:3" x14ac:dyDescent="0.2">
      <c r="A224" s="5">
        <v>38575</v>
      </c>
      <c r="B224">
        <v>4.5726000000000004</v>
      </c>
      <c r="C224">
        <f t="shared" si="3"/>
        <v>0</v>
      </c>
    </row>
    <row r="225" spans="1:3" x14ac:dyDescent="0.2">
      <c r="A225" s="5">
        <v>38576</v>
      </c>
      <c r="B225">
        <v>4.5747999999999998</v>
      </c>
      <c r="C225">
        <f t="shared" si="3"/>
        <v>1</v>
      </c>
    </row>
    <row r="226" spans="1:3" x14ac:dyDescent="0.2">
      <c r="A226" s="5">
        <v>38577</v>
      </c>
      <c r="B226">
        <v>4.5869</v>
      </c>
      <c r="C226">
        <f t="shared" si="3"/>
        <v>1</v>
      </c>
    </row>
    <row r="227" spans="1:3" x14ac:dyDescent="0.2">
      <c r="A227" s="5">
        <v>38578</v>
      </c>
      <c r="B227">
        <v>4.6143000000000001</v>
      </c>
      <c r="C227">
        <f t="shared" si="3"/>
        <v>1</v>
      </c>
    </row>
    <row r="228" spans="1:3" x14ac:dyDescent="0.2">
      <c r="A228" s="5">
        <v>38579</v>
      </c>
      <c r="B228">
        <v>4.6223000000000001</v>
      </c>
      <c r="C228">
        <f t="shared" si="3"/>
        <v>1</v>
      </c>
    </row>
    <row r="229" spans="1:3" x14ac:dyDescent="0.2">
      <c r="A229" s="5">
        <v>38580</v>
      </c>
      <c r="B229">
        <v>4.6513999999999998</v>
      </c>
      <c r="C229">
        <f t="shared" si="3"/>
        <v>1</v>
      </c>
    </row>
    <row r="230" spans="1:3" x14ac:dyDescent="0.2">
      <c r="A230" s="5">
        <v>38581</v>
      </c>
      <c r="B230">
        <v>4.6516000000000002</v>
      </c>
      <c r="C230">
        <f t="shared" si="3"/>
        <v>1</v>
      </c>
    </row>
    <row r="231" spans="1:3" x14ac:dyDescent="0.2">
      <c r="A231" s="5">
        <v>38582</v>
      </c>
      <c r="B231">
        <v>4.6467999999999998</v>
      </c>
      <c r="C231">
        <f t="shared" si="3"/>
        <v>0</v>
      </c>
    </row>
    <row r="232" spans="1:3" x14ac:dyDescent="0.2">
      <c r="A232" s="5">
        <v>38583</v>
      </c>
      <c r="B232">
        <v>4.6567999999999996</v>
      </c>
      <c r="C232">
        <f t="shared" si="3"/>
        <v>1</v>
      </c>
    </row>
    <row r="233" spans="1:3" x14ac:dyDescent="0.2">
      <c r="A233" s="5">
        <v>38584</v>
      </c>
      <c r="B233">
        <v>4.6661999999999999</v>
      </c>
      <c r="C233">
        <f t="shared" si="3"/>
        <v>1</v>
      </c>
    </row>
    <row r="234" spans="1:3" x14ac:dyDescent="0.2">
      <c r="A234" s="5">
        <v>38585</v>
      </c>
      <c r="B234">
        <v>4.7126999999999999</v>
      </c>
      <c r="C234">
        <f t="shared" si="3"/>
        <v>1</v>
      </c>
    </row>
    <row r="235" spans="1:3" x14ac:dyDescent="0.2">
      <c r="A235" s="5">
        <v>38586</v>
      </c>
      <c r="B235">
        <v>4.6494</v>
      </c>
      <c r="C235">
        <f t="shared" si="3"/>
        <v>0</v>
      </c>
    </row>
    <row r="236" spans="1:3" x14ac:dyDescent="0.2">
      <c r="A236" s="5">
        <v>38587</v>
      </c>
      <c r="B236">
        <v>4.6692</v>
      </c>
      <c r="C236">
        <f t="shared" si="3"/>
        <v>1</v>
      </c>
    </row>
    <row r="237" spans="1:3" x14ac:dyDescent="0.2">
      <c r="A237" s="5">
        <v>38588</v>
      </c>
      <c r="B237">
        <v>4.6635999999999997</v>
      </c>
      <c r="C237">
        <f t="shared" si="3"/>
        <v>0</v>
      </c>
    </row>
    <row r="238" spans="1:3" x14ac:dyDescent="0.2">
      <c r="A238" s="5">
        <v>38589</v>
      </c>
      <c r="B238">
        <v>4.6337000000000002</v>
      </c>
      <c r="C238">
        <f t="shared" si="3"/>
        <v>0</v>
      </c>
    </row>
    <row r="239" spans="1:3" x14ac:dyDescent="0.2">
      <c r="A239" s="5">
        <v>38590</v>
      </c>
      <c r="B239">
        <v>4.6318000000000001</v>
      </c>
      <c r="C239">
        <f t="shared" si="3"/>
        <v>0</v>
      </c>
    </row>
    <row r="240" spans="1:3" x14ac:dyDescent="0.2">
      <c r="A240" s="5">
        <v>38591</v>
      </c>
      <c r="B240">
        <v>4.6517999999999997</v>
      </c>
      <c r="C240">
        <f t="shared" si="3"/>
        <v>1</v>
      </c>
    </row>
    <row r="241" spans="1:3" x14ac:dyDescent="0.2">
      <c r="A241" s="5">
        <v>38592</v>
      </c>
      <c r="B241">
        <v>4.6707999999999998</v>
      </c>
      <c r="C241">
        <f t="shared" si="3"/>
        <v>1</v>
      </c>
    </row>
    <row r="242" spans="1:3" x14ac:dyDescent="0.2">
      <c r="A242" s="5">
        <v>38593</v>
      </c>
      <c r="B242">
        <v>4.6528999999999998</v>
      </c>
      <c r="C242">
        <f t="shared" si="3"/>
        <v>0</v>
      </c>
    </row>
    <row r="243" spans="1:3" x14ac:dyDescent="0.2">
      <c r="A243" s="5">
        <v>38594</v>
      </c>
      <c r="B243">
        <v>4.6464999999999996</v>
      </c>
      <c r="C243">
        <f t="shared" si="3"/>
        <v>0</v>
      </c>
    </row>
    <row r="244" spans="1:3" x14ac:dyDescent="0.2">
      <c r="A244" s="5">
        <v>38595</v>
      </c>
      <c r="B244">
        <v>4.6573000000000002</v>
      </c>
      <c r="C244">
        <f t="shared" si="3"/>
        <v>1</v>
      </c>
    </row>
    <row r="245" spans="1:3" x14ac:dyDescent="0.2">
      <c r="A245" s="5">
        <v>38596</v>
      </c>
      <c r="B245">
        <v>4.6565000000000003</v>
      </c>
      <c r="C245">
        <f t="shared" si="3"/>
        <v>0</v>
      </c>
    </row>
    <row r="246" spans="1:3" x14ac:dyDescent="0.2">
      <c r="A246" s="5">
        <v>38597</v>
      </c>
      <c r="B246">
        <v>4.6344000000000003</v>
      </c>
      <c r="C246">
        <f t="shared" si="3"/>
        <v>0</v>
      </c>
    </row>
    <row r="247" spans="1:3" x14ac:dyDescent="0.2">
      <c r="A247" s="5">
        <v>38598</v>
      </c>
      <c r="B247">
        <v>4.6349999999999998</v>
      </c>
      <c r="C247">
        <f t="shared" si="3"/>
        <v>1</v>
      </c>
    </row>
    <row r="248" spans="1:3" x14ac:dyDescent="0.2">
      <c r="A248" s="5">
        <v>38599</v>
      </c>
      <c r="B248">
        <v>4.6566000000000001</v>
      </c>
      <c r="C248">
        <f t="shared" si="3"/>
        <v>1</v>
      </c>
    </row>
    <row r="249" spans="1:3" x14ac:dyDescent="0.2">
      <c r="A249" s="5">
        <v>38600</v>
      </c>
      <c r="B249">
        <v>4.6478999999999999</v>
      </c>
      <c r="C249">
        <f t="shared" si="3"/>
        <v>0</v>
      </c>
    </row>
    <row r="250" spans="1:3" x14ac:dyDescent="0.2">
      <c r="A250" s="5">
        <v>38601</v>
      </c>
      <c r="B250">
        <v>4.6477000000000004</v>
      </c>
      <c r="C250">
        <f t="shared" si="3"/>
        <v>0</v>
      </c>
    </row>
    <row r="251" spans="1:3" x14ac:dyDescent="0.2">
      <c r="A251" s="5">
        <v>38602</v>
      </c>
      <c r="B251">
        <v>4.6482999999999999</v>
      </c>
      <c r="C251">
        <f t="shared" si="3"/>
        <v>1</v>
      </c>
    </row>
    <row r="252" spans="1:3" x14ac:dyDescent="0.2">
      <c r="A252" s="5">
        <v>38603</v>
      </c>
      <c r="B252">
        <v>4.6559999999999997</v>
      </c>
      <c r="C252">
        <f t="shared" si="3"/>
        <v>1</v>
      </c>
    </row>
    <row r="253" spans="1:3" x14ac:dyDescent="0.2">
      <c r="A253" s="5">
        <v>38604</v>
      </c>
      <c r="B253">
        <v>4.6699000000000002</v>
      </c>
      <c r="C253">
        <f t="shared" si="3"/>
        <v>1</v>
      </c>
    </row>
    <row r="254" spans="1:3" x14ac:dyDescent="0.2">
      <c r="A254" s="5">
        <v>38605</v>
      </c>
      <c r="B254">
        <v>4.7007000000000003</v>
      </c>
      <c r="C254">
        <f t="shared" si="3"/>
        <v>1</v>
      </c>
    </row>
    <row r="255" spans="1:3" x14ac:dyDescent="0.2">
      <c r="A255" s="5">
        <v>38606</v>
      </c>
      <c r="B255">
        <v>4.7169999999999996</v>
      </c>
      <c r="C255">
        <f t="shared" si="3"/>
        <v>1</v>
      </c>
    </row>
    <row r="256" spans="1:3" x14ac:dyDescent="0.2">
      <c r="A256" s="5">
        <v>38607</v>
      </c>
      <c r="B256">
        <v>4.7169999999999996</v>
      </c>
      <c r="C256">
        <f t="shared" si="3"/>
        <v>0</v>
      </c>
    </row>
    <row r="257" spans="1:3" x14ac:dyDescent="0.2">
      <c r="A257" s="5">
        <v>38608</v>
      </c>
      <c r="B257">
        <v>4.7088999999999999</v>
      </c>
      <c r="C257">
        <f t="shared" si="3"/>
        <v>0</v>
      </c>
    </row>
    <row r="258" spans="1:3" x14ac:dyDescent="0.2">
      <c r="A258" s="5">
        <v>38609</v>
      </c>
      <c r="B258">
        <v>4.6904000000000003</v>
      </c>
      <c r="C258">
        <f t="shared" si="3"/>
        <v>0</v>
      </c>
    </row>
    <row r="259" spans="1:3" x14ac:dyDescent="0.2">
      <c r="A259" s="5">
        <v>38610</v>
      </c>
      <c r="B259">
        <v>4.6703999999999999</v>
      </c>
      <c r="C259">
        <f t="shared" si="3"/>
        <v>0</v>
      </c>
    </row>
    <row r="260" spans="1:3" x14ac:dyDescent="0.2">
      <c r="A260" s="5">
        <v>38611</v>
      </c>
      <c r="B260">
        <v>4.6807999999999996</v>
      </c>
      <c r="C260">
        <f t="shared" ref="C260:C323" si="4">IF(B259&lt;B260,1,0)</f>
        <v>1</v>
      </c>
    </row>
    <row r="261" spans="1:3" x14ac:dyDescent="0.2">
      <c r="A261" s="5">
        <v>38612</v>
      </c>
      <c r="B261">
        <v>4.6634000000000002</v>
      </c>
      <c r="C261">
        <f t="shared" si="4"/>
        <v>0</v>
      </c>
    </row>
    <row r="262" spans="1:3" x14ac:dyDescent="0.2">
      <c r="A262" s="5">
        <v>38613</v>
      </c>
      <c r="B262">
        <v>4.6913</v>
      </c>
      <c r="C262">
        <f t="shared" si="4"/>
        <v>1</v>
      </c>
    </row>
    <row r="263" spans="1:3" x14ac:dyDescent="0.2">
      <c r="A263" s="5">
        <v>38614</v>
      </c>
      <c r="B263">
        <v>4.6977000000000002</v>
      </c>
      <c r="C263">
        <f t="shared" si="4"/>
        <v>1</v>
      </c>
    </row>
    <row r="264" spans="1:3" x14ac:dyDescent="0.2">
      <c r="A264" s="5">
        <v>38615</v>
      </c>
      <c r="B264">
        <v>4.7053000000000003</v>
      </c>
      <c r="C264">
        <f t="shared" si="4"/>
        <v>1</v>
      </c>
    </row>
    <row r="265" spans="1:3" x14ac:dyDescent="0.2">
      <c r="A265" s="5">
        <v>38616</v>
      </c>
      <c r="B265">
        <v>4.7335000000000003</v>
      </c>
      <c r="C265">
        <f t="shared" si="4"/>
        <v>1</v>
      </c>
    </row>
    <row r="266" spans="1:3" x14ac:dyDescent="0.2">
      <c r="A266" s="5">
        <v>38617</v>
      </c>
      <c r="B266">
        <v>4.7339000000000002</v>
      </c>
      <c r="C266">
        <f t="shared" si="4"/>
        <v>1</v>
      </c>
    </row>
    <row r="267" spans="1:3" x14ac:dyDescent="0.2">
      <c r="A267" s="5">
        <v>38618</v>
      </c>
      <c r="B267">
        <v>4.7247000000000003</v>
      </c>
      <c r="C267">
        <f t="shared" si="4"/>
        <v>0</v>
      </c>
    </row>
    <row r="268" spans="1:3" x14ac:dyDescent="0.2">
      <c r="A268" s="5">
        <v>38619</v>
      </c>
      <c r="B268">
        <v>4.7157</v>
      </c>
      <c r="C268">
        <f t="shared" si="4"/>
        <v>0</v>
      </c>
    </row>
    <row r="269" spans="1:3" x14ac:dyDescent="0.2">
      <c r="A269" s="5">
        <v>38620</v>
      </c>
      <c r="B269">
        <v>4.7358000000000002</v>
      </c>
      <c r="C269">
        <f t="shared" si="4"/>
        <v>1</v>
      </c>
    </row>
    <row r="270" spans="1:3" x14ac:dyDescent="0.2">
      <c r="A270" s="5">
        <v>38621</v>
      </c>
      <c r="B270">
        <v>4.7255000000000003</v>
      </c>
      <c r="C270">
        <f t="shared" si="4"/>
        <v>0</v>
      </c>
    </row>
    <row r="271" spans="1:3" x14ac:dyDescent="0.2">
      <c r="A271" s="5">
        <v>38622</v>
      </c>
      <c r="B271">
        <v>4.7088999999999999</v>
      </c>
      <c r="C271">
        <f t="shared" si="4"/>
        <v>0</v>
      </c>
    </row>
    <row r="272" spans="1:3" x14ac:dyDescent="0.2">
      <c r="A272" s="5">
        <v>38623</v>
      </c>
      <c r="B272">
        <v>4.6924999999999999</v>
      </c>
      <c r="C272">
        <f t="shared" si="4"/>
        <v>0</v>
      </c>
    </row>
    <row r="273" spans="1:3" x14ac:dyDescent="0.2">
      <c r="A273" s="5">
        <v>38624</v>
      </c>
      <c r="B273">
        <v>4.7004000000000001</v>
      </c>
      <c r="C273">
        <f t="shared" si="4"/>
        <v>1</v>
      </c>
    </row>
    <row r="274" spans="1:3" x14ac:dyDescent="0.2">
      <c r="A274" s="5">
        <v>38625</v>
      </c>
      <c r="B274">
        <v>4.7225999999999999</v>
      </c>
      <c r="C274">
        <f t="shared" si="4"/>
        <v>1</v>
      </c>
    </row>
    <row r="275" spans="1:3" x14ac:dyDescent="0.2">
      <c r="A275" s="5">
        <v>38626</v>
      </c>
      <c r="B275">
        <v>4.7363999999999997</v>
      </c>
      <c r="C275">
        <f t="shared" si="4"/>
        <v>1</v>
      </c>
    </row>
    <row r="276" spans="1:3" x14ac:dyDescent="0.2">
      <c r="A276" s="5">
        <v>38627</v>
      </c>
      <c r="B276">
        <v>4.7458</v>
      </c>
      <c r="C276">
        <f t="shared" si="4"/>
        <v>1</v>
      </c>
    </row>
    <row r="277" spans="1:3" x14ac:dyDescent="0.2">
      <c r="A277" s="5">
        <v>38628</v>
      </c>
      <c r="B277">
        <v>4.7614000000000001</v>
      </c>
      <c r="C277">
        <f t="shared" si="4"/>
        <v>1</v>
      </c>
    </row>
    <row r="278" spans="1:3" x14ac:dyDescent="0.2">
      <c r="A278" s="5">
        <v>38629</v>
      </c>
      <c r="B278">
        <v>4.7743000000000002</v>
      </c>
      <c r="C278">
        <f t="shared" si="4"/>
        <v>1</v>
      </c>
    </row>
    <row r="279" spans="1:3" x14ac:dyDescent="0.2">
      <c r="A279" s="5">
        <v>38630</v>
      </c>
      <c r="B279">
        <v>4.8112000000000004</v>
      </c>
      <c r="C279">
        <f t="shared" si="4"/>
        <v>1</v>
      </c>
    </row>
    <row r="280" spans="1:3" x14ac:dyDescent="0.2">
      <c r="A280" s="5">
        <v>38631</v>
      </c>
      <c r="B280">
        <v>4.7807000000000004</v>
      </c>
      <c r="C280">
        <f t="shared" si="4"/>
        <v>0</v>
      </c>
    </row>
    <row r="281" spans="1:3" x14ac:dyDescent="0.2">
      <c r="A281" s="5">
        <v>38632</v>
      </c>
      <c r="B281">
        <v>4.8257000000000003</v>
      </c>
      <c r="C281">
        <f t="shared" si="4"/>
        <v>1</v>
      </c>
    </row>
    <row r="282" spans="1:3" x14ac:dyDescent="0.2">
      <c r="A282" s="5">
        <v>38633</v>
      </c>
      <c r="B282">
        <v>4.8441000000000001</v>
      </c>
      <c r="C282">
        <f t="shared" si="4"/>
        <v>1</v>
      </c>
    </row>
    <row r="283" spans="1:3" x14ac:dyDescent="0.2">
      <c r="A283" s="5">
        <v>38634</v>
      </c>
      <c r="B283">
        <v>4.8475000000000001</v>
      </c>
      <c r="C283">
        <f t="shared" si="4"/>
        <v>1</v>
      </c>
    </row>
    <row r="284" spans="1:3" x14ac:dyDescent="0.2">
      <c r="A284" s="5">
        <v>38635</v>
      </c>
      <c r="B284">
        <v>4.8297999999999996</v>
      </c>
      <c r="C284">
        <f t="shared" si="4"/>
        <v>0</v>
      </c>
    </row>
    <row r="285" spans="1:3" x14ac:dyDescent="0.2">
      <c r="A285" s="5">
        <v>38636</v>
      </c>
      <c r="B285">
        <v>4.8537999999999997</v>
      </c>
      <c r="C285">
        <f t="shared" si="4"/>
        <v>1</v>
      </c>
    </row>
    <row r="286" spans="1:3" x14ac:dyDescent="0.2">
      <c r="A286" s="5">
        <v>38637</v>
      </c>
      <c r="B286">
        <v>4.8468</v>
      </c>
      <c r="C286">
        <f t="shared" si="4"/>
        <v>0</v>
      </c>
    </row>
    <row r="287" spans="1:3" x14ac:dyDescent="0.2">
      <c r="A287" s="5">
        <v>38638</v>
      </c>
      <c r="B287">
        <v>4.8628</v>
      </c>
      <c r="C287">
        <f t="shared" si="4"/>
        <v>1</v>
      </c>
    </row>
    <row r="288" spans="1:3" x14ac:dyDescent="0.2">
      <c r="A288" s="5">
        <v>38639</v>
      </c>
      <c r="B288">
        <v>4.8541999999999996</v>
      </c>
      <c r="C288">
        <f t="shared" si="4"/>
        <v>0</v>
      </c>
    </row>
    <row r="289" spans="1:3" x14ac:dyDescent="0.2">
      <c r="A289" s="5">
        <v>38640</v>
      </c>
      <c r="B289">
        <v>4.8662999999999998</v>
      </c>
      <c r="C289">
        <f t="shared" si="4"/>
        <v>1</v>
      </c>
    </row>
    <row r="290" spans="1:3" x14ac:dyDescent="0.2">
      <c r="A290" s="5">
        <v>38641</v>
      </c>
      <c r="B290">
        <v>4.8840000000000003</v>
      </c>
      <c r="C290">
        <f t="shared" si="4"/>
        <v>1</v>
      </c>
    </row>
    <row r="291" spans="1:3" x14ac:dyDescent="0.2">
      <c r="A291" s="5">
        <v>38642</v>
      </c>
      <c r="B291">
        <v>4.8875999999999999</v>
      </c>
      <c r="C291">
        <f t="shared" si="4"/>
        <v>1</v>
      </c>
    </row>
    <row r="292" spans="1:3" x14ac:dyDescent="0.2">
      <c r="A292" s="5">
        <v>38643</v>
      </c>
      <c r="B292">
        <v>4.9059999999999997</v>
      </c>
      <c r="C292">
        <f t="shared" si="4"/>
        <v>1</v>
      </c>
    </row>
    <row r="293" spans="1:3" x14ac:dyDescent="0.2">
      <c r="A293" s="5">
        <v>38644</v>
      </c>
      <c r="B293">
        <v>4.8955000000000002</v>
      </c>
      <c r="C293">
        <f t="shared" si="4"/>
        <v>0</v>
      </c>
    </row>
    <row r="294" spans="1:3" x14ac:dyDescent="0.2">
      <c r="A294" s="5">
        <v>38645</v>
      </c>
      <c r="B294">
        <v>4.8695000000000004</v>
      </c>
      <c r="C294">
        <f t="shared" si="4"/>
        <v>0</v>
      </c>
    </row>
    <row r="295" spans="1:3" x14ac:dyDescent="0.2">
      <c r="A295" s="5">
        <v>38646</v>
      </c>
      <c r="B295">
        <v>4.8837000000000002</v>
      </c>
      <c r="C295">
        <f t="shared" si="4"/>
        <v>1</v>
      </c>
    </row>
    <row r="296" spans="1:3" x14ac:dyDescent="0.2">
      <c r="A296" s="5">
        <v>38647</v>
      </c>
      <c r="B296">
        <v>4.8365999999999998</v>
      </c>
      <c r="C296">
        <f t="shared" si="4"/>
        <v>0</v>
      </c>
    </row>
    <row r="297" spans="1:3" x14ac:dyDescent="0.2">
      <c r="A297" s="5">
        <v>38648</v>
      </c>
      <c r="B297">
        <v>4.8746</v>
      </c>
      <c r="C297">
        <f t="shared" si="4"/>
        <v>1</v>
      </c>
    </row>
    <row r="298" spans="1:3" x14ac:dyDescent="0.2">
      <c r="A298" s="5">
        <v>38649</v>
      </c>
      <c r="B298">
        <v>4.9149000000000003</v>
      </c>
      <c r="C298">
        <f t="shared" si="4"/>
        <v>1</v>
      </c>
    </row>
    <row r="299" spans="1:3" x14ac:dyDescent="0.2">
      <c r="A299" s="5">
        <v>38650</v>
      </c>
      <c r="B299">
        <v>4.8688000000000002</v>
      </c>
      <c r="C299">
        <f t="shared" si="4"/>
        <v>0</v>
      </c>
    </row>
    <row r="300" spans="1:3" x14ac:dyDescent="0.2">
      <c r="A300" s="5">
        <v>38651</v>
      </c>
      <c r="B300">
        <v>4.8467000000000002</v>
      </c>
      <c r="C300">
        <f t="shared" si="4"/>
        <v>0</v>
      </c>
    </row>
    <row r="301" spans="1:3" x14ac:dyDescent="0.2">
      <c r="A301" s="5">
        <v>38652</v>
      </c>
      <c r="B301">
        <v>4.8198999999999996</v>
      </c>
      <c r="C301">
        <f t="shared" si="4"/>
        <v>0</v>
      </c>
    </row>
    <row r="302" spans="1:3" x14ac:dyDescent="0.2">
      <c r="A302" s="5">
        <v>38653</v>
      </c>
      <c r="B302">
        <v>4.8261000000000003</v>
      </c>
      <c r="C302">
        <f t="shared" si="4"/>
        <v>1</v>
      </c>
    </row>
    <row r="303" spans="1:3" x14ac:dyDescent="0.2">
      <c r="A303" s="5">
        <v>38654</v>
      </c>
      <c r="B303">
        <v>4.8150000000000004</v>
      </c>
      <c r="C303">
        <f t="shared" si="4"/>
        <v>0</v>
      </c>
    </row>
    <row r="304" spans="1:3" x14ac:dyDescent="0.2">
      <c r="A304" s="5">
        <v>38655</v>
      </c>
      <c r="B304">
        <v>4.7971000000000004</v>
      </c>
      <c r="C304">
        <f t="shared" si="4"/>
        <v>0</v>
      </c>
    </row>
    <row r="305" spans="1:3" x14ac:dyDescent="0.2">
      <c r="A305" s="5">
        <v>38656</v>
      </c>
      <c r="B305">
        <v>4.7537000000000003</v>
      </c>
      <c r="C305">
        <f t="shared" si="4"/>
        <v>0</v>
      </c>
    </row>
    <row r="306" spans="1:3" x14ac:dyDescent="0.2">
      <c r="A306" s="5">
        <v>38657</v>
      </c>
      <c r="B306">
        <v>4.7744</v>
      </c>
      <c r="C306">
        <f t="shared" si="4"/>
        <v>1</v>
      </c>
    </row>
    <row r="307" spans="1:3" x14ac:dyDescent="0.2">
      <c r="A307" s="5">
        <v>38658</v>
      </c>
      <c r="B307">
        <v>4.7645999999999997</v>
      </c>
      <c r="C307">
        <f t="shared" si="4"/>
        <v>0</v>
      </c>
    </row>
    <row r="308" spans="1:3" x14ac:dyDescent="0.2">
      <c r="A308" s="5">
        <v>38659</v>
      </c>
      <c r="B308">
        <v>4.7397999999999998</v>
      </c>
      <c r="C308">
        <f t="shared" si="4"/>
        <v>0</v>
      </c>
    </row>
    <row r="309" spans="1:3" x14ac:dyDescent="0.2">
      <c r="A309" s="5">
        <v>38660</v>
      </c>
      <c r="B309">
        <v>4.7192999999999996</v>
      </c>
      <c r="C309">
        <f t="shared" si="4"/>
        <v>0</v>
      </c>
    </row>
    <row r="310" spans="1:3" x14ac:dyDescent="0.2">
      <c r="A310" s="5">
        <v>38661</v>
      </c>
      <c r="B310">
        <v>4.7286000000000001</v>
      </c>
      <c r="C310">
        <f t="shared" si="4"/>
        <v>1</v>
      </c>
    </row>
    <row r="311" spans="1:3" x14ac:dyDescent="0.2">
      <c r="A311" s="5">
        <v>38662</v>
      </c>
      <c r="B311">
        <v>4.7404999999999999</v>
      </c>
      <c r="C311">
        <f t="shared" si="4"/>
        <v>1</v>
      </c>
    </row>
    <row r="312" spans="1:3" x14ac:dyDescent="0.2">
      <c r="A312" s="5">
        <v>38663</v>
      </c>
      <c r="B312">
        <v>4.7343000000000002</v>
      </c>
      <c r="C312">
        <f t="shared" si="4"/>
        <v>0</v>
      </c>
    </row>
    <row r="313" spans="1:3" x14ac:dyDescent="0.2">
      <c r="A313" s="5">
        <v>38664</v>
      </c>
      <c r="B313">
        <v>4.7229999999999999</v>
      </c>
      <c r="C313">
        <f t="shared" si="4"/>
        <v>0</v>
      </c>
    </row>
    <row r="314" spans="1:3" x14ac:dyDescent="0.2">
      <c r="A314" s="5">
        <v>38665</v>
      </c>
      <c r="B314">
        <v>4.7016</v>
      </c>
      <c r="C314">
        <f t="shared" si="4"/>
        <v>0</v>
      </c>
    </row>
    <row r="315" spans="1:3" x14ac:dyDescent="0.2">
      <c r="A315" s="5">
        <v>38666</v>
      </c>
      <c r="B315">
        <v>4.702</v>
      </c>
      <c r="C315">
        <f t="shared" si="4"/>
        <v>1</v>
      </c>
    </row>
    <row r="316" spans="1:3" x14ac:dyDescent="0.2">
      <c r="A316" s="5">
        <v>38667</v>
      </c>
      <c r="B316">
        <v>4.7042999999999999</v>
      </c>
      <c r="C316">
        <f t="shared" si="4"/>
        <v>1</v>
      </c>
    </row>
    <row r="317" spans="1:3" x14ac:dyDescent="0.2">
      <c r="A317" s="5">
        <v>38668</v>
      </c>
      <c r="B317">
        <v>4.7584999999999997</v>
      </c>
      <c r="C317">
        <f t="shared" si="4"/>
        <v>1</v>
      </c>
    </row>
    <row r="318" spans="1:3" x14ac:dyDescent="0.2">
      <c r="A318" s="5">
        <v>38669</v>
      </c>
      <c r="B318">
        <v>4.7324000000000002</v>
      </c>
      <c r="C318">
        <f t="shared" si="4"/>
        <v>0</v>
      </c>
    </row>
    <row r="319" spans="1:3" x14ac:dyDescent="0.2">
      <c r="A319" s="5">
        <v>38670</v>
      </c>
      <c r="B319">
        <v>4.7385999999999999</v>
      </c>
      <c r="C319">
        <f t="shared" si="4"/>
        <v>1</v>
      </c>
    </row>
    <row r="320" spans="1:3" x14ac:dyDescent="0.2">
      <c r="A320" s="5">
        <v>38671</v>
      </c>
      <c r="B320">
        <v>4.7454999999999998</v>
      </c>
      <c r="C320">
        <f t="shared" si="4"/>
        <v>1</v>
      </c>
    </row>
    <row r="321" spans="1:3" x14ac:dyDescent="0.2">
      <c r="A321" s="5">
        <v>38672</v>
      </c>
      <c r="B321">
        <v>4.7527999999999997</v>
      </c>
      <c r="C321">
        <f t="shared" si="4"/>
        <v>1</v>
      </c>
    </row>
    <row r="322" spans="1:3" x14ac:dyDescent="0.2">
      <c r="A322" s="5">
        <v>38673</v>
      </c>
      <c r="B322">
        <v>4.7508999999999997</v>
      </c>
      <c r="C322">
        <f t="shared" si="4"/>
        <v>0</v>
      </c>
    </row>
    <row r="323" spans="1:3" x14ac:dyDescent="0.2">
      <c r="A323" s="5">
        <v>38674</v>
      </c>
      <c r="B323">
        <v>4.7194000000000003</v>
      </c>
      <c r="C323">
        <f t="shared" si="4"/>
        <v>0</v>
      </c>
    </row>
    <row r="324" spans="1:3" x14ac:dyDescent="0.2">
      <c r="A324" s="5">
        <v>38675</v>
      </c>
      <c r="B324">
        <v>4.7272999999999996</v>
      </c>
      <c r="C324">
        <f t="shared" ref="C324:C366" si="5">IF(B323&lt;B324,1,0)</f>
        <v>1</v>
      </c>
    </row>
    <row r="325" spans="1:3" x14ac:dyDescent="0.2">
      <c r="A325" s="5">
        <v>38676</v>
      </c>
      <c r="B325">
        <v>4.7180999999999997</v>
      </c>
      <c r="C325">
        <f t="shared" si="5"/>
        <v>0</v>
      </c>
    </row>
    <row r="326" spans="1:3" x14ac:dyDescent="0.2">
      <c r="A326" s="5">
        <v>38677</v>
      </c>
      <c r="B326">
        <v>4.7397</v>
      </c>
      <c r="C326">
        <f t="shared" si="5"/>
        <v>1</v>
      </c>
    </row>
    <row r="327" spans="1:3" x14ac:dyDescent="0.2">
      <c r="A327" s="5">
        <v>38678</v>
      </c>
      <c r="B327">
        <v>4.7289000000000003</v>
      </c>
      <c r="C327">
        <f t="shared" si="5"/>
        <v>0</v>
      </c>
    </row>
    <row r="328" spans="1:3" x14ac:dyDescent="0.2">
      <c r="A328" s="5">
        <v>38679</v>
      </c>
      <c r="B328">
        <v>4.7332999999999998</v>
      </c>
      <c r="C328">
        <f t="shared" si="5"/>
        <v>1</v>
      </c>
    </row>
    <row r="329" spans="1:3" x14ac:dyDescent="0.2">
      <c r="A329" s="5">
        <v>38680</v>
      </c>
      <c r="B329">
        <v>4.7441000000000004</v>
      </c>
      <c r="C329">
        <f t="shared" si="5"/>
        <v>1</v>
      </c>
    </row>
    <row r="330" spans="1:3" x14ac:dyDescent="0.2">
      <c r="A330" s="5">
        <v>38681</v>
      </c>
      <c r="B330">
        <v>4.8139000000000003</v>
      </c>
      <c r="C330">
        <f t="shared" si="5"/>
        <v>1</v>
      </c>
    </row>
    <row r="331" spans="1:3" x14ac:dyDescent="0.2">
      <c r="A331" s="5">
        <v>38682</v>
      </c>
      <c r="B331">
        <v>4.7893999999999997</v>
      </c>
      <c r="C331">
        <f t="shared" si="5"/>
        <v>0</v>
      </c>
    </row>
    <row r="332" spans="1:3" x14ac:dyDescent="0.2">
      <c r="A332" s="5">
        <v>38683</v>
      </c>
      <c r="B332">
        <v>4.7759</v>
      </c>
      <c r="C332">
        <f t="shared" si="5"/>
        <v>0</v>
      </c>
    </row>
    <row r="333" spans="1:3" x14ac:dyDescent="0.2">
      <c r="A333" s="5">
        <v>38684</v>
      </c>
      <c r="B333">
        <v>4.7744</v>
      </c>
      <c r="C333">
        <f t="shared" si="5"/>
        <v>0</v>
      </c>
    </row>
    <row r="334" spans="1:3" x14ac:dyDescent="0.2">
      <c r="A334" s="5">
        <v>38685</v>
      </c>
      <c r="B334">
        <v>4.7435999999999998</v>
      </c>
      <c r="C334">
        <f t="shared" si="5"/>
        <v>0</v>
      </c>
    </row>
    <row r="335" spans="1:3" x14ac:dyDescent="0.2">
      <c r="A335" s="5">
        <v>38686</v>
      </c>
      <c r="B335">
        <v>4.7496999999999998</v>
      </c>
      <c r="C335">
        <f t="shared" si="5"/>
        <v>1</v>
      </c>
    </row>
    <row r="336" spans="1:3" x14ac:dyDescent="0.2">
      <c r="A336" s="5">
        <v>38687</v>
      </c>
      <c r="B336">
        <v>4.7648000000000001</v>
      </c>
      <c r="C336">
        <f t="shared" si="5"/>
        <v>1</v>
      </c>
    </row>
    <row r="337" spans="1:3" x14ac:dyDescent="0.2">
      <c r="A337" s="5">
        <v>38688</v>
      </c>
      <c r="B337">
        <v>4.7595000000000001</v>
      </c>
      <c r="C337">
        <f t="shared" si="5"/>
        <v>0</v>
      </c>
    </row>
    <row r="338" spans="1:3" x14ac:dyDescent="0.2">
      <c r="A338" s="5">
        <v>38689</v>
      </c>
      <c r="B338">
        <v>4.7690000000000001</v>
      </c>
      <c r="C338">
        <f t="shared" si="5"/>
        <v>1</v>
      </c>
    </row>
    <row r="339" spans="1:3" x14ac:dyDescent="0.2">
      <c r="A339" s="5">
        <v>38690</v>
      </c>
      <c r="B339">
        <v>4.7805</v>
      </c>
      <c r="C339">
        <f t="shared" si="5"/>
        <v>1</v>
      </c>
    </row>
    <row r="340" spans="1:3" x14ac:dyDescent="0.2">
      <c r="A340" s="5">
        <v>38691</v>
      </c>
      <c r="B340">
        <v>4.7980999999999998</v>
      </c>
      <c r="C340">
        <f t="shared" si="5"/>
        <v>1</v>
      </c>
    </row>
    <row r="341" spans="1:3" x14ac:dyDescent="0.2">
      <c r="A341" s="5">
        <v>38692</v>
      </c>
      <c r="B341">
        <v>4.8121999999999998</v>
      </c>
      <c r="C341">
        <f t="shared" si="5"/>
        <v>1</v>
      </c>
    </row>
    <row r="342" spans="1:3" x14ac:dyDescent="0.2">
      <c r="A342" s="5">
        <v>38693</v>
      </c>
      <c r="B342">
        <v>4.7805</v>
      </c>
      <c r="C342">
        <f t="shared" si="5"/>
        <v>0</v>
      </c>
    </row>
    <row r="343" spans="1:3" x14ac:dyDescent="0.2">
      <c r="A343" s="5">
        <v>38694</v>
      </c>
      <c r="B343">
        <v>4.7462999999999997</v>
      </c>
      <c r="C343">
        <f t="shared" si="5"/>
        <v>0</v>
      </c>
    </row>
    <row r="344" spans="1:3" x14ac:dyDescent="0.2">
      <c r="A344" s="5">
        <v>38695</v>
      </c>
      <c r="B344">
        <v>4.7693000000000003</v>
      </c>
      <c r="C344">
        <f t="shared" si="5"/>
        <v>1</v>
      </c>
    </row>
    <row r="345" spans="1:3" x14ac:dyDescent="0.2">
      <c r="A345" s="5">
        <v>38696</v>
      </c>
      <c r="B345">
        <v>4.7454000000000001</v>
      </c>
      <c r="C345">
        <f t="shared" si="5"/>
        <v>0</v>
      </c>
    </row>
    <row r="346" spans="1:3" x14ac:dyDescent="0.2">
      <c r="A346" s="5">
        <v>38697</v>
      </c>
      <c r="B346">
        <v>4.7538</v>
      </c>
      <c r="C346">
        <f t="shared" si="5"/>
        <v>1</v>
      </c>
    </row>
    <row r="347" spans="1:3" x14ac:dyDescent="0.2">
      <c r="A347" s="5">
        <v>38698</v>
      </c>
      <c r="B347">
        <v>4.7473999999999998</v>
      </c>
      <c r="C347">
        <f t="shared" si="5"/>
        <v>0</v>
      </c>
    </row>
    <row r="348" spans="1:3" x14ac:dyDescent="0.2">
      <c r="A348" s="5">
        <v>38699</v>
      </c>
      <c r="B348">
        <v>4.7618</v>
      </c>
      <c r="C348">
        <f t="shared" si="5"/>
        <v>1</v>
      </c>
    </row>
    <row r="349" spans="1:3" x14ac:dyDescent="0.2">
      <c r="A349" s="5">
        <v>38700</v>
      </c>
      <c r="B349">
        <v>4.7850999999999999</v>
      </c>
      <c r="C349">
        <f t="shared" si="5"/>
        <v>1</v>
      </c>
    </row>
    <row r="350" spans="1:3" x14ac:dyDescent="0.2">
      <c r="A350" s="5">
        <v>38701</v>
      </c>
      <c r="B350">
        <v>4.7592999999999996</v>
      </c>
      <c r="C350">
        <f t="shared" si="5"/>
        <v>0</v>
      </c>
    </row>
    <row r="351" spans="1:3" x14ac:dyDescent="0.2">
      <c r="A351" s="5">
        <v>38702</v>
      </c>
      <c r="B351">
        <v>4.7857000000000003</v>
      </c>
      <c r="C351">
        <f t="shared" si="5"/>
        <v>1</v>
      </c>
    </row>
    <row r="352" spans="1:3" x14ac:dyDescent="0.2">
      <c r="A352" s="5">
        <v>38703</v>
      </c>
      <c r="B352">
        <v>4.7530000000000001</v>
      </c>
      <c r="C352">
        <f t="shared" si="5"/>
        <v>0</v>
      </c>
    </row>
    <row r="353" spans="1:3" x14ac:dyDescent="0.2">
      <c r="A353" s="5">
        <v>38704</v>
      </c>
      <c r="B353">
        <v>4.7098000000000004</v>
      </c>
      <c r="C353">
        <f t="shared" si="5"/>
        <v>0</v>
      </c>
    </row>
    <row r="354" spans="1:3" x14ac:dyDescent="0.2">
      <c r="A354" s="5">
        <v>38705</v>
      </c>
      <c r="B354">
        <v>4.6920999999999999</v>
      </c>
      <c r="C354">
        <f t="shared" si="5"/>
        <v>0</v>
      </c>
    </row>
    <row r="355" spans="1:3" x14ac:dyDescent="0.2">
      <c r="A355" s="5">
        <v>38706</v>
      </c>
      <c r="B355">
        <v>4.6939000000000002</v>
      </c>
      <c r="C355">
        <f t="shared" si="5"/>
        <v>1</v>
      </c>
    </row>
    <row r="356" spans="1:3" x14ac:dyDescent="0.2">
      <c r="A356" s="5">
        <v>38707</v>
      </c>
      <c r="B356">
        <v>4.6649000000000003</v>
      </c>
      <c r="C356">
        <f t="shared" si="5"/>
        <v>0</v>
      </c>
    </row>
    <row r="357" spans="1:3" x14ac:dyDescent="0.2">
      <c r="A357" s="5">
        <v>38708</v>
      </c>
      <c r="B357">
        <v>4.6425999999999998</v>
      </c>
      <c r="C357">
        <f t="shared" si="5"/>
        <v>0</v>
      </c>
    </row>
    <row r="358" spans="1:3" x14ac:dyDescent="0.2">
      <c r="A358" s="5">
        <v>38709</v>
      </c>
      <c r="B358">
        <v>4.6721000000000004</v>
      </c>
      <c r="C358">
        <f t="shared" si="5"/>
        <v>1</v>
      </c>
    </row>
    <row r="359" spans="1:3" x14ac:dyDescent="0.2">
      <c r="A359" s="5">
        <v>38710</v>
      </c>
      <c r="B359">
        <v>4.6555</v>
      </c>
      <c r="C359">
        <f t="shared" si="5"/>
        <v>0</v>
      </c>
    </row>
    <row r="360" spans="1:3" x14ac:dyDescent="0.2">
      <c r="A360" s="5">
        <v>38711</v>
      </c>
      <c r="B360">
        <v>4.6647999999999996</v>
      </c>
      <c r="C360">
        <f t="shared" si="5"/>
        <v>1</v>
      </c>
    </row>
    <row r="361" spans="1:3" x14ac:dyDescent="0.2">
      <c r="A361" s="5">
        <v>38712</v>
      </c>
      <c r="B361">
        <v>4.6509</v>
      </c>
      <c r="C361">
        <f t="shared" si="5"/>
        <v>0</v>
      </c>
    </row>
    <row r="362" spans="1:3" x14ac:dyDescent="0.2">
      <c r="A362" s="5">
        <v>38713</v>
      </c>
      <c r="B362">
        <v>4.6506999999999996</v>
      </c>
      <c r="C362">
        <f t="shared" si="5"/>
        <v>0</v>
      </c>
    </row>
    <row r="363" spans="1:3" x14ac:dyDescent="0.2">
      <c r="A363" s="5">
        <v>38714</v>
      </c>
      <c r="B363">
        <v>4.66</v>
      </c>
      <c r="C363">
        <f t="shared" si="5"/>
        <v>1</v>
      </c>
    </row>
    <row r="364" spans="1:3" x14ac:dyDescent="0.2">
      <c r="A364" s="5">
        <v>38715</v>
      </c>
      <c r="B364">
        <v>4.6513</v>
      </c>
      <c r="C364">
        <f t="shared" si="5"/>
        <v>0</v>
      </c>
    </row>
    <row r="365" spans="1:3" x14ac:dyDescent="0.2">
      <c r="A365" s="5">
        <v>38716</v>
      </c>
      <c r="B365">
        <v>4.6500000000000004</v>
      </c>
      <c r="C365">
        <f t="shared" si="5"/>
        <v>0</v>
      </c>
    </row>
    <row r="366" spans="1:3" x14ac:dyDescent="0.2">
      <c r="A366" s="5">
        <v>38717</v>
      </c>
      <c r="B366">
        <v>4.6573000000000002</v>
      </c>
      <c r="C366">
        <f t="shared" si="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4</vt:i4>
      </vt:variant>
    </vt:vector>
  </HeadingPairs>
  <TitlesOfParts>
    <vt:vector size="8" baseType="lpstr">
      <vt:lpstr>dane</vt:lpstr>
      <vt:lpstr>a</vt:lpstr>
      <vt:lpstr>b</vt:lpstr>
      <vt:lpstr>c</vt:lpstr>
      <vt:lpstr>b!kursy</vt:lpstr>
      <vt:lpstr>'c'!kursy</vt:lpstr>
      <vt:lpstr>a!lokaty</vt:lpstr>
      <vt:lpstr>dane!lokaty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Izbicki, Szymon</dc:creator>
  <cp:lastModifiedBy>Izbicki, Szymon</cp:lastModifiedBy>
  <dcterms:created xsi:type="dcterms:W3CDTF">2025-11-20T09:46:35Z</dcterms:created>
  <dcterms:modified xsi:type="dcterms:W3CDTF">2025-11-20T13:21:23Z</dcterms:modified>
</cp:coreProperties>
</file>